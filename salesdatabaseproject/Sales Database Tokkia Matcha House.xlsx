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rhode\freeCodeCampEXCEL\Project4_SalesDatabase\"/>
    </mc:Choice>
  </mc:AlternateContent>
  <xr:revisionPtr revIDLastSave="0" documentId="8_{8E1BFF1F-906B-4C75-B315-0D37B658E4DF}" xr6:coauthVersionLast="47" xr6:coauthVersionMax="47" xr10:uidLastSave="{00000000-0000-0000-0000-000000000000}"/>
  <bookViews>
    <workbookView xWindow="4080" yWindow="2685" windowWidth="33240" windowHeight="15885" activeTab="3" xr2:uid="{54C9D8C7-59B6-4D0C-993D-5F8964CB2F2F}"/>
  </bookViews>
  <sheets>
    <sheet name="Cost and Budget Tracking" sheetId="5" r:id="rId1"/>
    <sheet name="Contractor and Labor Management" sheetId="2" r:id="rId2"/>
    <sheet name="Procurement and Deliverie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4" i="4"/>
  <c r="C15" i="4"/>
  <c r="C16" i="4"/>
  <c r="C12" i="4"/>
  <c r="B16" i="4"/>
  <c r="B15" i="4"/>
  <c r="B14" i="4"/>
  <c r="B13" i="4"/>
  <c r="B12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4" i="2"/>
  <c r="K6" i="2"/>
  <c r="K8" i="2"/>
  <c r="K10" i="2"/>
  <c r="K12" i="2"/>
  <c r="K14" i="2"/>
  <c r="K16" i="2"/>
  <c r="K18" i="2"/>
  <c r="K2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B26" i="3"/>
  <c r="E26" i="3"/>
  <c r="E25" i="3"/>
  <c r="E24" i="3"/>
  <c r="B27" i="3"/>
  <c r="B25" i="3"/>
  <c r="B24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I30" i="5"/>
  <c r="B7" i="4" s="1"/>
  <c r="G30" i="5"/>
  <c r="B2" i="4" s="1"/>
  <c r="F30" i="5"/>
  <c r="B3" i="4" s="1"/>
  <c r="H3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H5" i="5" s="1"/>
  <c r="F4" i="5"/>
  <c r="H4" i="5" s="1"/>
  <c r="F3" i="5"/>
  <c r="F2" i="5"/>
  <c r="H2" i="5"/>
  <c r="H30" i="5" l="1"/>
  <c r="B6" i="4"/>
  <c r="J30" i="5"/>
  <c r="B4" i="4"/>
  <c r="B5" i="4"/>
</calcChain>
</file>

<file path=xl/sharedStrings.xml><?xml version="1.0" encoding="utf-8"?>
<sst xmlns="http://schemas.openxmlformats.org/spreadsheetml/2006/main" count="332" uniqueCount="195">
  <si>
    <t>Category</t>
  </si>
  <si>
    <t>Item Description</t>
  </si>
  <si>
    <t xml:space="preserve">Supplier </t>
  </si>
  <si>
    <t>Quantity</t>
  </si>
  <si>
    <t>Unit Cost</t>
  </si>
  <si>
    <t>Total Cost</t>
  </si>
  <si>
    <t>Budgeted Amount</t>
  </si>
  <si>
    <t>Variance</t>
  </si>
  <si>
    <t xml:space="preserve">Payment Status </t>
  </si>
  <si>
    <t>Notes</t>
  </si>
  <si>
    <t>design</t>
  </si>
  <si>
    <t>Architectural Design Fees</t>
  </si>
  <si>
    <t>Stephenson-Edwards Studio</t>
  </si>
  <si>
    <t>paid</t>
  </si>
  <si>
    <t>Final burrow layout approved Apr 5</t>
  </si>
  <si>
    <t>Design</t>
  </si>
  <si>
    <t>Interior Design Services</t>
  </si>
  <si>
    <t>Tokkia Design Partners</t>
  </si>
  <si>
    <t>Structural Engineering</t>
  </si>
  <si>
    <t>EngStruct London</t>
  </si>
  <si>
    <t>MEP Engineering Plans</t>
  </si>
  <si>
    <t>MechEng UK</t>
  </si>
  <si>
    <t>Planning Application</t>
  </si>
  <si>
    <t>Camden Council</t>
  </si>
  <si>
    <t>Building Regs Approval</t>
  </si>
  <si>
    <t>LABC London</t>
  </si>
  <si>
    <t>Site Surveys</t>
  </si>
  <si>
    <t>SurveyPro Ltd</t>
  </si>
  <si>
    <t>3D Renderings</t>
  </si>
  <si>
    <t>RenderHub Studio</t>
  </si>
  <si>
    <t>Landscape Consultant</t>
  </si>
  <si>
    <t>GreenSpace Assoc</t>
  </si>
  <si>
    <t>Acoustic Design</t>
  </si>
  <si>
    <t>SoundEng Ltd</t>
  </si>
  <si>
    <t>Sustainability Audit</t>
  </si>
  <si>
    <t>EcoBuild Partners</t>
  </si>
  <si>
    <t>Quantity Surveyor</t>
  </si>
  <si>
    <t>QS Experts</t>
  </si>
  <si>
    <t>Project Management</t>
  </si>
  <si>
    <t>PMG London</t>
  </si>
  <si>
    <t>Lighting Design</t>
  </si>
  <si>
    <t>Lumina Studio</t>
  </si>
  <si>
    <t>Fixture Prototyping</t>
  </si>
  <si>
    <t>BronzeCraft</t>
  </si>
  <si>
    <t>Heritage Consultant</t>
  </si>
  <si>
    <t>HeritageUK</t>
  </si>
  <si>
    <t>Fire Safety Eng</t>
  </si>
  <si>
    <t>FireSafe Pro</t>
  </si>
  <si>
    <t>Accessibility Audit</t>
  </si>
  <si>
    <t>AccessCheck Ltd</t>
  </si>
  <si>
    <t>Signage &amp; Graphics</t>
  </si>
  <si>
    <t>SignArt London</t>
  </si>
  <si>
    <t>Design Revisions</t>
  </si>
  <si>
    <t>Internal Reserve</t>
  </si>
  <si>
    <t>Materials</t>
  </si>
  <si>
    <t>Terrazzo Samples</t>
  </si>
  <si>
    <t>TerraFloor Supplies</t>
  </si>
  <si>
    <t>Lime Wash Paint</t>
  </si>
  <si>
    <t>EcoPaints UK</t>
  </si>
  <si>
    <t>Survey Tools Rental</t>
  </si>
  <si>
    <t>ToolHire London</t>
  </si>
  <si>
    <t>CAD Software License</t>
  </si>
  <si>
    <t>Autodesk UK</t>
  </si>
  <si>
    <t>Site Visits</t>
  </si>
  <si>
    <t>Team Travel</t>
  </si>
  <si>
    <t>Blueprints &amp; Plans</t>
  </si>
  <si>
    <t>PrintPro London</t>
  </si>
  <si>
    <t>Courier Deliveries</t>
  </si>
  <si>
    <t>DHL UK</t>
  </si>
  <si>
    <t>materials</t>
  </si>
  <si>
    <t>pending</t>
  </si>
  <si>
    <t>partial</t>
  </si>
  <si>
    <t>Terrazzo &amp; lime-wash specs Apr 10</t>
  </si>
  <si>
    <t>Low-ceiling analysis complete Apr 12</t>
  </si>
  <si>
    <t>Ventilation for matcha stations Apr 15</t>
  </si>
  <si>
    <t>Covent Garden heritage ok Apr 8</t>
  </si>
  <si>
    <t>Food-safe compliance Apr 18</t>
  </si>
  <si>
    <t>Monmouth St measurements Apr 3</t>
  </si>
  <si>
    <t>Bunny-themed visuals delivered Apr 20</t>
  </si>
  <si>
    <t>Street-facing tweaks Apr 7</t>
  </si>
  <si>
    <t>Calming ambiance plans Apr 22</t>
  </si>
  <si>
    <t>Energy standards met Apr 14</t>
  </si>
  <si>
    <t>Initial cost plan Apr 9</t>
  </si>
  <si>
    <t>Phase oversight Apr 1-30</t>
  </si>
  <si>
    <t>Earthy matcha glow Apr 25</t>
  </si>
  <si>
    <t>Teaware integration Apr 16</t>
  </si>
  <si>
    <t>Seven Dials compliance Apr 11</t>
  </si>
  <si>
    <t>Compact space cert Apr 28</t>
  </si>
  <si>
    <t>Burrow ramps planned Apr 19</t>
  </si>
  <si>
    <t>Timber entrance Apr 6</t>
  </si>
  <si>
    <t>Minor earthy texture changes Apr 27</t>
  </si>
  <si>
    <t>Matcha station prototypes Apr 13</t>
  </si>
  <si>
    <t>Wall finish trials Apr 21</t>
  </si>
  <si>
    <t>Laser measures Apr 4</t>
  </si>
  <si>
    <t>Monthly sub Apr 1</t>
  </si>
  <si>
    <t>Covent Garden trips Apr 2-29</t>
  </si>
  <si>
    <t>A1 sets Apr 17</t>
  </si>
  <si>
    <t>Docs to council Apr 10-26</t>
  </si>
  <si>
    <t>Contractor</t>
  </si>
  <si>
    <t xml:space="preserve"> Role</t>
  </si>
  <si>
    <t>Task</t>
  </si>
  <si>
    <t>Start Date</t>
  </si>
  <si>
    <t>End Date</t>
  </si>
  <si>
    <t>Contract Value</t>
  </si>
  <si>
    <t>Amount Paid</t>
  </si>
  <si>
    <t>Remaining Balance</t>
  </si>
  <si>
    <t>Status</t>
  </si>
  <si>
    <t>Architect</t>
  </si>
  <si>
    <t>Interior Designer</t>
  </si>
  <si>
    <t>Structural Engineer</t>
  </si>
  <si>
    <t>Pending</t>
  </si>
  <si>
    <t>MEP Engineer</t>
  </si>
  <si>
    <t>Planning Authority</t>
  </si>
  <si>
    <t>Building Control</t>
  </si>
  <si>
    <t>Surveyor</t>
  </si>
  <si>
    <t>Renderer</t>
  </si>
  <si>
    <t>Landscape Consultancy</t>
  </si>
  <si>
    <t>Acoustic Consultant</t>
  </si>
  <si>
    <t>Sustainability Consultant</t>
  </si>
  <si>
    <t>Quantity Surveyor Services</t>
  </si>
  <si>
    <t>Project Manager</t>
  </si>
  <si>
    <t>Lighting Designer</t>
  </si>
  <si>
    <t>Fabricator</t>
  </si>
  <si>
    <t>Heritage Review</t>
  </si>
  <si>
    <t>Fire Safety Engineer</t>
  </si>
  <si>
    <t>Fire Safety Engineering</t>
  </si>
  <si>
    <t>Accessibility Consultant</t>
  </si>
  <si>
    <t>Signage Designer</t>
  </si>
  <si>
    <t>Design Adjustments</t>
  </si>
  <si>
    <t>Stephenson Edwards Studio</t>
  </si>
  <si>
    <t>Item</t>
  </si>
  <si>
    <t>Supplier</t>
  </si>
  <si>
    <t>Order Date</t>
  </si>
  <si>
    <t>Expected Delivery</t>
  </si>
  <si>
    <t>Received Date</t>
  </si>
  <si>
    <t>Invoice #</t>
  </si>
  <si>
    <t>Terrazzo Tiles</t>
  </si>
  <si>
    <t>Lime-Wash Paint</t>
  </si>
  <si>
    <t>Pendant Lamps</t>
  </si>
  <si>
    <t>Custom Signage</t>
  </si>
  <si>
    <t>Teaware Fixture Prototypes</t>
  </si>
  <si>
    <t>Matcha Counter Lighting</t>
  </si>
  <si>
    <t>Terrazzo Sample Set</t>
  </si>
  <si>
    <t>Heritage Compliance Files</t>
  </si>
  <si>
    <t>Safety Certificates</t>
  </si>
  <si>
    <t>Accessibility Audit Reports</t>
  </si>
  <si>
    <t>Landscape Plant Samples</t>
  </si>
  <si>
    <t>Blueprint Sets</t>
  </si>
  <si>
    <t>Site Survey Tools Rental</t>
  </si>
  <si>
    <t>INV 1025</t>
  </si>
  <si>
    <t>INV 1032</t>
  </si>
  <si>
    <t>INV 1029</t>
  </si>
  <si>
    <t>delivered (late)</t>
  </si>
  <si>
    <t>delivered</t>
  </si>
  <si>
    <t>Procurement Summary</t>
  </si>
  <si>
    <t>Total Items Ordered</t>
  </si>
  <si>
    <t>Pending Deliveries</t>
  </si>
  <si>
    <t>Delivered (Late)</t>
  </si>
  <si>
    <t>Percent Delivered (On Time)</t>
  </si>
  <si>
    <t>Label</t>
  </si>
  <si>
    <t>Delivered (On Time)</t>
  </si>
  <si>
    <t>Required Materials</t>
  </si>
  <si>
    <t>Key Delivery Date</t>
  </si>
  <si>
    <t>Bamboo Floor Planks</t>
  </si>
  <si>
    <t>Delivery Status</t>
  </si>
  <si>
    <t>INV 1040</t>
  </si>
  <si>
    <t>INV 1019</t>
  </si>
  <si>
    <t>INV 1020</t>
  </si>
  <si>
    <t>INV 1042</t>
  </si>
  <si>
    <t>INV 1030</t>
  </si>
  <si>
    <t>INV 1028</t>
  </si>
  <si>
    <t>INV 1044</t>
  </si>
  <si>
    <t>INV 1033</t>
  </si>
  <si>
    <t>INV 1041</t>
  </si>
  <si>
    <t>INV 1005</t>
  </si>
  <si>
    <t>INV 1027</t>
  </si>
  <si>
    <t>INV 1043</t>
  </si>
  <si>
    <t>INV 1012</t>
  </si>
  <si>
    <t>Eco Build Ltd</t>
  </si>
  <si>
    <t>Luminaa Studio</t>
  </si>
  <si>
    <t>TerraFloora Supplies</t>
  </si>
  <si>
    <t>TOKKIA MATCHA HOUSE - PROJECT DASHBOARD</t>
  </si>
  <si>
    <t>Total Budget</t>
  </si>
  <si>
    <t>Total Spent</t>
  </si>
  <si>
    <t>Remaining Budget</t>
  </si>
  <si>
    <t>Percentage of Budget Used</t>
  </si>
  <si>
    <t>Over Budget Items</t>
  </si>
  <si>
    <t>Paid Items</t>
  </si>
  <si>
    <t>Top 5 Expense Categories</t>
  </si>
  <si>
    <t>Engineering &amp; Consulting</t>
  </si>
  <si>
    <t>Permits &amp; Approvals</t>
  </si>
  <si>
    <t>Fixtures &amp; Equipment</t>
  </si>
  <si>
    <t>engineering &amp; consulting</t>
  </si>
  <si>
    <t>permits &amp; approvals</t>
  </si>
  <si>
    <t>fixtures &amp;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</si>
</sst>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$&quot;#,##0.00"/>
    <numFmt numFmtId="170" formatCode="yyyy\-mm\-dd;@"/>
    <numFmt numFmtId="173" formatCode="[$£-809]#,##0.0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sz val="1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47774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170" fontId="1" fillId="0" borderId="0" xfId="0" applyNumberFormat="1" applyFont="1"/>
    <xf numFmtId="170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173" fontId="0" fillId="0" borderId="1" xfId="0" applyNumberFormat="1" applyBorder="1"/>
    <xf numFmtId="0" fontId="6" fillId="0" borderId="1" xfId="0" applyFont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/>
    <xf numFmtId="173" fontId="7" fillId="0" borderId="1" xfId="0" applyNumberFormat="1" applyFont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16">
    <dxf>
      <fill>
        <patternFill>
          <bgColor rgb="FF008000"/>
        </patternFill>
      </fill>
    </dxf>
    <dxf>
      <fill>
        <patternFill>
          <bgColor rgb="FFFFC067"/>
        </patternFill>
      </fill>
    </dxf>
    <dxf>
      <fill>
        <patternFill>
          <bgColor rgb="FFCC0000"/>
        </patternFill>
      </fill>
    </dxf>
    <dxf>
      <fill>
        <patternFill>
          <bgColor rgb="FF008000"/>
        </patternFill>
      </fill>
    </dxf>
    <dxf>
      <fill>
        <patternFill>
          <bgColor rgb="FFFFC067"/>
        </patternFill>
      </fill>
    </dxf>
    <dxf>
      <fill>
        <patternFill>
          <bgColor rgb="FFCC000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C067"/>
        </patternFill>
      </fill>
    </dxf>
    <dxf>
      <fill>
        <patternFill>
          <bgColor rgb="FF63BE7B"/>
        </patternFill>
      </fill>
    </dxf>
    <dxf>
      <fill>
        <patternFill>
          <bgColor rgb="FFFFB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0000"/>
      <color rgb="FFFFC067"/>
      <color rgb="FF008000"/>
      <color rgb="FF47774B"/>
      <color rgb="FF080000"/>
      <color rgb="FFFFEE8C"/>
      <color rgb="FFFFFFC5"/>
      <color rgb="FFFFFF00"/>
      <color rgb="FFFFF9C4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Procurement Summary</a:t>
            </a:r>
          </a:p>
        </c:rich>
      </c:tx>
      <c:layout>
        <c:manualLayout>
          <c:xMode val="edge"/>
          <c:yMode val="edge"/>
          <c:x val="0.238290072564458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0061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1C-43D3-818E-13C330DFF73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1C-43D3-818E-13C330DFF73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E1C-43D3-818E-13C330DFF73C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('Procurement and Deliveries'!$D$23,'Procurement and Deliveries'!$D$24,'Procurement and Deliveries'!$D$25,'Procurement and Deliveries'!$D$26)</c:f>
              <c:strCache>
                <c:ptCount val="4"/>
                <c:pt idx="0">
                  <c:v>Label</c:v>
                </c:pt>
                <c:pt idx="1">
                  <c:v>Delivered (On Time)</c:v>
                </c:pt>
                <c:pt idx="2">
                  <c:v>Pending</c:v>
                </c:pt>
                <c:pt idx="3">
                  <c:v>Delivered (Late)</c:v>
                </c:pt>
              </c:strCache>
            </c:strRef>
          </c:cat>
          <c:val>
            <c:numRef>
              <c:f>('Procurement and Deliveries'!$E$23,'Procurement and Deliveries'!$E$24,'Procurement and Deliveries'!$E$25,'Procurement and Deliveries'!$E$26)</c:f>
              <c:numCache>
                <c:formatCode>0</c:formatCode>
                <c:ptCount val="4"/>
                <c:pt idx="1">
                  <c:v>11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C-43D3-818E-13C330DFF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690-443E-BEC3-059DC6FE3FDD}"/>
              </c:ext>
            </c:extLst>
          </c:dPt>
          <c:dPt>
            <c:idx val="1"/>
            <c:bubble3D val="0"/>
            <c:spPr>
              <a:solidFill>
                <a:srgbClr val="008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0-443E-BEC3-059DC6FE3FD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(Dashboard!$A$3,Dashboard!$A$4)</c:f>
              <c:strCache>
                <c:ptCount val="2"/>
                <c:pt idx="0">
                  <c:v>Total Spent</c:v>
                </c:pt>
                <c:pt idx="1">
                  <c:v>Remaining Budget</c:v>
                </c:pt>
              </c:strCache>
            </c:strRef>
          </c:cat>
          <c:val>
            <c:numRef>
              <c:f>(Dashboard!$B$3,Dashboard!$B$4)</c:f>
              <c:numCache>
                <c:formatCode>[$£-809]#,##0.00</c:formatCode>
                <c:ptCount val="2"/>
                <c:pt idx="0">
                  <c:v>308080</c:v>
                </c:pt>
                <c:pt idx="1">
                  <c:v>30120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0-443E-BEC3-059DC6FE3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Expense</a:t>
            </a:r>
            <a:r>
              <a:rPr lang="en-US" baseline="0"/>
              <a:t>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(Dashboard!$A$12,Dashboard!$A$13,Dashboard!$A$14,Dashboard!$A$15,Dashboard!$A$16)</c:f>
              <c:strCache>
                <c:ptCount val="5"/>
                <c:pt idx="0">
                  <c:v>Design</c:v>
                </c:pt>
                <c:pt idx="1">
                  <c:v>Engineering &amp; Consulting</c:v>
                </c:pt>
                <c:pt idx="2">
                  <c:v>Materials</c:v>
                </c:pt>
                <c:pt idx="3">
                  <c:v>Permits &amp; Approvals</c:v>
                </c:pt>
                <c:pt idx="4">
                  <c:v>Fixtures &amp; Equipment</c:v>
                </c:pt>
              </c:strCache>
            </c:strRef>
          </c:cat>
          <c:val>
            <c:numRef>
              <c:f>(Dashboard!$B$12,Dashboard!$B$13,Dashboard!$B$14,Dashboard!$B$15,Dashboard!$B$16)</c:f>
              <c:numCache>
                <c:formatCode>[$£-809]#,##0.00</c:formatCode>
                <c:ptCount val="5"/>
                <c:pt idx="0">
                  <c:v>88800</c:v>
                </c:pt>
                <c:pt idx="1">
                  <c:v>30500</c:v>
                </c:pt>
                <c:pt idx="2">
                  <c:v>10500</c:v>
                </c:pt>
                <c:pt idx="3">
                  <c:v>9500</c:v>
                </c:pt>
                <c:pt idx="4">
                  <c:v>14740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B-4FDD-B84A-D2DDA305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7560048"/>
        <c:axId val="1123989696"/>
        <c:axId val="0"/>
      </c:bar3DChart>
      <c:catAx>
        <c:axId val="4075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89696"/>
        <c:crosses val="autoZero"/>
        <c:auto val="1"/>
        <c:lblAlgn val="ctr"/>
        <c:lblOffset val="100"/>
        <c:noMultiLvlLbl val="0"/>
      </c:catAx>
      <c:valAx>
        <c:axId val="11239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18</xdr:row>
      <xdr:rowOff>133350</xdr:rowOff>
    </xdr:from>
    <xdr:to>
      <xdr:col>7</xdr:col>
      <xdr:colOff>104775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D789C-6579-2F09-8837-76FE5216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119062</xdr:rowOff>
    </xdr:from>
    <xdr:to>
      <xdr:col>13</xdr:col>
      <xdr:colOff>142875</xdr:colOff>
      <xdr:row>13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8C48D-6622-66E3-DF51-14B111D23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452437</xdr:colOff>
      <xdr:row>14</xdr:row>
      <xdr:rowOff>166687</xdr:rowOff>
    </xdr:from>
    <xdr:to>
      <xdr:col>13</xdr:col>
      <xdr:colOff>147637</xdr:colOff>
      <xdr:row>29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F2CDF3-0111-F66D-F2B1-65384C5AE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4B76-FD8C-40D2-91FF-C8F3E9CF79FE}">
  <dimension ref="A1:J30"/>
  <sheetViews>
    <sheetView workbookViewId="0">
      <pane ySplit="1" topLeftCell="A2" activePane="bottomLeft" state="frozen"/>
      <selection pane="bottomLeft" activeCell="A12" sqref="A12"/>
    </sheetView>
  </sheetViews>
  <sheetFormatPr defaultRowHeight="15"/>
  <cols>
    <col min="1" max="1" width="9.140625" bestFit="1" customWidth="1"/>
    <col min="2" max="2" width="23.5703125" bestFit="1" customWidth="1"/>
    <col min="3" max="3" width="26.140625" bestFit="1" customWidth="1"/>
    <col min="4" max="4" width="8.7109375" bestFit="1" customWidth="1"/>
    <col min="5" max="5" width="10.140625" style="4" bestFit="1" customWidth="1"/>
    <col min="6" max="6" width="11.140625" style="4" bestFit="1" customWidth="1"/>
    <col min="7" max="7" width="17.28515625" style="4" bestFit="1" customWidth="1"/>
    <col min="8" max="8" width="10.140625" style="4" bestFit="1" customWidth="1"/>
    <col min="9" max="9" width="15.5703125" bestFit="1" customWidth="1"/>
    <col min="10" max="10" width="32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 s="4">
        <v>25000</v>
      </c>
      <c r="F2" s="4">
        <f>D2*E2</f>
        <v>25000</v>
      </c>
      <c r="G2" s="4">
        <v>28000</v>
      </c>
      <c r="H2" s="4">
        <f>G2-F2</f>
        <v>3000</v>
      </c>
      <c r="I2" t="s">
        <v>13</v>
      </c>
      <c r="J2" t="s">
        <v>14</v>
      </c>
    </row>
    <row r="3" spans="1:10">
      <c r="A3" t="s">
        <v>10</v>
      </c>
      <c r="B3" t="s">
        <v>16</v>
      </c>
      <c r="C3" t="s">
        <v>17</v>
      </c>
      <c r="D3">
        <v>1</v>
      </c>
      <c r="E3" s="4">
        <v>18000</v>
      </c>
      <c r="F3" s="4">
        <f t="shared" ref="F3:F28" si="0">D3*E3</f>
        <v>18000</v>
      </c>
      <c r="G3" s="4">
        <v>20000</v>
      </c>
      <c r="H3" s="4">
        <f t="shared" ref="H3:H28" si="1">G3-F3</f>
        <v>2000</v>
      </c>
      <c r="I3" t="s">
        <v>13</v>
      </c>
      <c r="J3" t="s">
        <v>72</v>
      </c>
    </row>
    <row r="4" spans="1:10">
      <c r="A4" t="s">
        <v>192</v>
      </c>
      <c r="B4" t="s">
        <v>18</v>
      </c>
      <c r="C4" t="s">
        <v>19</v>
      </c>
      <c r="D4">
        <v>1</v>
      </c>
      <c r="E4" s="4">
        <v>8000</v>
      </c>
      <c r="F4" s="4">
        <f t="shared" si="0"/>
        <v>8000</v>
      </c>
      <c r="G4" s="4">
        <v>9000</v>
      </c>
      <c r="H4" s="4">
        <f t="shared" si="1"/>
        <v>1000</v>
      </c>
      <c r="I4" t="s">
        <v>70</v>
      </c>
      <c r="J4" t="s">
        <v>73</v>
      </c>
    </row>
    <row r="5" spans="1:10">
      <c r="A5" t="s">
        <v>192</v>
      </c>
      <c r="B5" t="s">
        <v>20</v>
      </c>
      <c r="C5" t="s">
        <v>21</v>
      </c>
      <c r="D5">
        <v>1</v>
      </c>
      <c r="E5" s="4">
        <v>6500</v>
      </c>
      <c r="F5" s="4">
        <f t="shared" si="0"/>
        <v>6500</v>
      </c>
      <c r="G5" s="4">
        <v>7000</v>
      </c>
      <c r="H5" s="4">
        <f t="shared" si="1"/>
        <v>500</v>
      </c>
      <c r="I5" t="s">
        <v>13</v>
      </c>
      <c r="J5" t="s">
        <v>74</v>
      </c>
    </row>
    <row r="6" spans="1:10">
      <c r="A6" t="s">
        <v>193</v>
      </c>
      <c r="B6" t="s">
        <v>22</v>
      </c>
      <c r="C6" t="s">
        <v>23</v>
      </c>
      <c r="D6">
        <v>1</v>
      </c>
      <c r="E6" s="4">
        <v>4000</v>
      </c>
      <c r="F6" s="4">
        <f t="shared" si="0"/>
        <v>4000</v>
      </c>
      <c r="G6" s="4">
        <v>4500</v>
      </c>
      <c r="H6" s="4">
        <f t="shared" si="1"/>
        <v>500</v>
      </c>
      <c r="I6" t="s">
        <v>13</v>
      </c>
      <c r="J6" t="s">
        <v>75</v>
      </c>
    </row>
    <row r="7" spans="1:10">
      <c r="A7" t="s">
        <v>193</v>
      </c>
      <c r="B7" t="s">
        <v>24</v>
      </c>
      <c r="C7" t="s">
        <v>25</v>
      </c>
      <c r="D7">
        <v>1</v>
      </c>
      <c r="E7" s="4">
        <v>2500</v>
      </c>
      <c r="F7" s="4">
        <f t="shared" si="0"/>
        <v>2500</v>
      </c>
      <c r="G7" s="4">
        <v>2800</v>
      </c>
      <c r="H7" s="4">
        <f t="shared" si="1"/>
        <v>300</v>
      </c>
      <c r="I7" t="s">
        <v>13</v>
      </c>
      <c r="J7" t="s">
        <v>76</v>
      </c>
    </row>
    <row r="8" spans="1:10">
      <c r="A8" t="s">
        <v>193</v>
      </c>
      <c r="B8" t="s">
        <v>26</v>
      </c>
      <c r="C8" t="s">
        <v>27</v>
      </c>
      <c r="D8">
        <v>1</v>
      </c>
      <c r="E8" s="4">
        <v>3000</v>
      </c>
      <c r="F8" s="4">
        <f t="shared" si="0"/>
        <v>3000</v>
      </c>
      <c r="G8" s="4">
        <v>3200</v>
      </c>
      <c r="H8" s="4">
        <f t="shared" si="1"/>
        <v>200</v>
      </c>
      <c r="I8" t="s">
        <v>13</v>
      </c>
      <c r="J8" t="s">
        <v>77</v>
      </c>
    </row>
    <row r="9" spans="1:10">
      <c r="A9" t="s">
        <v>10</v>
      </c>
      <c r="B9" t="s">
        <v>28</v>
      </c>
      <c r="C9" t="s">
        <v>29</v>
      </c>
      <c r="D9">
        <v>1</v>
      </c>
      <c r="E9" s="4">
        <v>5000</v>
      </c>
      <c r="F9" s="4">
        <f t="shared" si="0"/>
        <v>5000</v>
      </c>
      <c r="G9" s="4">
        <v>5500</v>
      </c>
      <c r="H9" s="4">
        <f t="shared" si="1"/>
        <v>500</v>
      </c>
      <c r="I9" t="s">
        <v>70</v>
      </c>
      <c r="J9" t="s">
        <v>78</v>
      </c>
    </row>
    <row r="10" spans="1:10">
      <c r="A10" t="s">
        <v>192</v>
      </c>
      <c r="B10" t="s">
        <v>30</v>
      </c>
      <c r="C10" t="s">
        <v>31</v>
      </c>
      <c r="D10">
        <v>1</v>
      </c>
      <c r="E10" s="4">
        <v>2000</v>
      </c>
      <c r="F10" s="4">
        <f t="shared" si="0"/>
        <v>2000</v>
      </c>
      <c r="G10" s="4">
        <v>2200</v>
      </c>
      <c r="H10" s="4">
        <f t="shared" si="1"/>
        <v>200</v>
      </c>
      <c r="I10" t="s">
        <v>13</v>
      </c>
      <c r="J10" t="s">
        <v>79</v>
      </c>
    </row>
    <row r="11" spans="1:10">
      <c r="A11" t="s">
        <v>10</v>
      </c>
      <c r="B11" t="s">
        <v>32</v>
      </c>
      <c r="C11" t="s">
        <v>33</v>
      </c>
      <c r="D11">
        <v>1</v>
      </c>
      <c r="E11" s="4">
        <v>3500</v>
      </c>
      <c r="F11" s="4">
        <f t="shared" si="0"/>
        <v>3500</v>
      </c>
      <c r="G11" s="4">
        <v>3800</v>
      </c>
      <c r="H11" s="4">
        <f t="shared" si="1"/>
        <v>300</v>
      </c>
      <c r="I11" t="s">
        <v>70</v>
      </c>
      <c r="J11" t="s">
        <v>80</v>
      </c>
    </row>
    <row r="12" spans="1:10">
      <c r="A12" t="s">
        <v>192</v>
      </c>
      <c r="B12" t="s">
        <v>34</v>
      </c>
      <c r="C12" t="s">
        <v>35</v>
      </c>
      <c r="D12">
        <v>1</v>
      </c>
      <c r="E12" s="4">
        <v>4000</v>
      </c>
      <c r="F12" s="4">
        <f t="shared" si="0"/>
        <v>4000</v>
      </c>
      <c r="G12" s="4">
        <v>4200</v>
      </c>
      <c r="H12" s="4">
        <f t="shared" si="1"/>
        <v>200</v>
      </c>
      <c r="I12" t="s">
        <v>13</v>
      </c>
      <c r="J12" t="s">
        <v>81</v>
      </c>
    </row>
    <row r="13" spans="1:10">
      <c r="A13" t="s">
        <v>10</v>
      </c>
      <c r="B13" t="s">
        <v>36</v>
      </c>
      <c r="C13" t="s">
        <v>37</v>
      </c>
      <c r="D13">
        <v>1</v>
      </c>
      <c r="E13" s="4">
        <v>7000</v>
      </c>
      <c r="F13" s="4">
        <f t="shared" si="0"/>
        <v>7000</v>
      </c>
      <c r="G13" s="4">
        <v>7500</v>
      </c>
      <c r="H13" s="4">
        <f t="shared" si="1"/>
        <v>500</v>
      </c>
      <c r="I13" t="s">
        <v>13</v>
      </c>
      <c r="J13" t="s">
        <v>82</v>
      </c>
    </row>
    <row r="14" spans="1:10">
      <c r="A14" t="s">
        <v>10</v>
      </c>
      <c r="B14" t="s">
        <v>38</v>
      </c>
      <c r="C14" t="s">
        <v>39</v>
      </c>
      <c r="D14">
        <v>1</v>
      </c>
      <c r="E14" s="4">
        <v>12000</v>
      </c>
      <c r="F14" s="4">
        <f t="shared" si="0"/>
        <v>12000</v>
      </c>
      <c r="G14" s="4">
        <v>13000</v>
      </c>
      <c r="H14" s="4">
        <f t="shared" si="1"/>
        <v>1000</v>
      </c>
      <c r="I14" t="s">
        <v>71</v>
      </c>
      <c r="J14" t="s">
        <v>83</v>
      </c>
    </row>
    <row r="15" spans="1:10">
      <c r="A15" t="s">
        <v>10</v>
      </c>
      <c r="B15" t="s">
        <v>40</v>
      </c>
      <c r="C15" t="s">
        <v>41</v>
      </c>
      <c r="D15">
        <v>1</v>
      </c>
      <c r="E15" s="4">
        <v>4500</v>
      </c>
      <c r="F15" s="4">
        <f t="shared" si="0"/>
        <v>4500</v>
      </c>
      <c r="G15" s="4">
        <v>4800</v>
      </c>
      <c r="H15" s="4">
        <f t="shared" si="1"/>
        <v>300</v>
      </c>
      <c r="I15" t="s">
        <v>70</v>
      </c>
      <c r="J15" t="s">
        <v>84</v>
      </c>
    </row>
    <row r="16" spans="1:10">
      <c r="A16" t="s">
        <v>194</v>
      </c>
      <c r="B16" t="s">
        <v>42</v>
      </c>
      <c r="C16" t="s">
        <v>43</v>
      </c>
      <c r="D16">
        <v>1</v>
      </c>
      <c r="E16" s="4">
        <v>6000</v>
      </c>
      <c r="F16" s="4">
        <f t="shared" si="0"/>
        <v>6000</v>
      </c>
      <c r="G16" s="4">
        <v>6500</v>
      </c>
      <c r="H16" s="4">
        <f t="shared" si="1"/>
        <v>500</v>
      </c>
      <c r="I16" t="s">
        <v>13</v>
      </c>
      <c r="J16" t="s">
        <v>85</v>
      </c>
    </row>
    <row r="17" spans="1:10">
      <c r="A17" t="s">
        <v>192</v>
      </c>
      <c r="B17" t="s">
        <v>44</v>
      </c>
      <c r="C17" t="s">
        <v>45</v>
      </c>
      <c r="D17">
        <v>1</v>
      </c>
      <c r="E17" s="4">
        <v>3500</v>
      </c>
      <c r="F17" s="4">
        <f t="shared" si="0"/>
        <v>3500</v>
      </c>
      <c r="G17" s="4">
        <v>3700</v>
      </c>
      <c r="H17" s="4">
        <f t="shared" si="1"/>
        <v>200</v>
      </c>
      <c r="I17" t="s">
        <v>13</v>
      </c>
      <c r="J17" t="s">
        <v>86</v>
      </c>
    </row>
    <row r="18" spans="1:10">
      <c r="A18" t="s">
        <v>192</v>
      </c>
      <c r="B18" t="s">
        <v>46</v>
      </c>
      <c r="C18" t="s">
        <v>47</v>
      </c>
      <c r="D18">
        <v>1</v>
      </c>
      <c r="E18" s="4">
        <v>4000</v>
      </c>
      <c r="F18" s="4">
        <f t="shared" si="0"/>
        <v>4000</v>
      </c>
      <c r="G18" s="4">
        <v>4200</v>
      </c>
      <c r="H18" s="4">
        <f t="shared" si="1"/>
        <v>200</v>
      </c>
      <c r="I18" t="s">
        <v>70</v>
      </c>
      <c r="J18" t="s">
        <v>87</v>
      </c>
    </row>
    <row r="19" spans="1:10">
      <c r="A19" t="s">
        <v>192</v>
      </c>
      <c r="B19" t="s">
        <v>48</v>
      </c>
      <c r="C19" t="s">
        <v>49</v>
      </c>
      <c r="D19">
        <v>1</v>
      </c>
      <c r="E19" s="4">
        <v>2500</v>
      </c>
      <c r="F19" s="4">
        <f t="shared" si="0"/>
        <v>2500</v>
      </c>
      <c r="G19" s="4">
        <v>2700</v>
      </c>
      <c r="H19" s="4">
        <f t="shared" si="1"/>
        <v>200</v>
      </c>
      <c r="I19" t="s">
        <v>13</v>
      </c>
      <c r="J19" t="s">
        <v>88</v>
      </c>
    </row>
    <row r="20" spans="1:10">
      <c r="A20" t="s">
        <v>10</v>
      </c>
      <c r="B20" t="s">
        <v>50</v>
      </c>
      <c r="C20" t="s">
        <v>51</v>
      </c>
      <c r="D20">
        <v>1</v>
      </c>
      <c r="E20" s="4">
        <v>3000</v>
      </c>
      <c r="F20" s="4">
        <f t="shared" si="0"/>
        <v>3000</v>
      </c>
      <c r="G20" s="4">
        <v>3200</v>
      </c>
      <c r="H20" s="4">
        <f t="shared" si="1"/>
        <v>200</v>
      </c>
      <c r="I20" t="s">
        <v>13</v>
      </c>
      <c r="J20" t="s">
        <v>89</v>
      </c>
    </row>
    <row r="21" spans="1:10">
      <c r="A21" t="s">
        <v>10</v>
      </c>
      <c r="B21" t="s">
        <v>52</v>
      </c>
      <c r="C21" t="s">
        <v>53</v>
      </c>
      <c r="D21">
        <v>1</v>
      </c>
      <c r="E21" s="4">
        <v>10800</v>
      </c>
      <c r="F21" s="4">
        <f t="shared" si="0"/>
        <v>10800</v>
      </c>
      <c r="G21" s="4">
        <v>12000</v>
      </c>
      <c r="H21" s="4">
        <f t="shared" si="1"/>
        <v>1200</v>
      </c>
      <c r="I21" t="s">
        <v>70</v>
      </c>
      <c r="J21" t="s">
        <v>90</v>
      </c>
    </row>
    <row r="22" spans="1:10">
      <c r="A22" t="s">
        <v>69</v>
      </c>
      <c r="B22" t="s">
        <v>55</v>
      </c>
      <c r="C22" t="s">
        <v>56</v>
      </c>
      <c r="D22">
        <v>10</v>
      </c>
      <c r="E22" s="4">
        <v>450</v>
      </c>
      <c r="F22" s="4">
        <f t="shared" si="0"/>
        <v>4500</v>
      </c>
      <c r="G22" s="4">
        <v>5000</v>
      </c>
      <c r="H22" s="4">
        <f t="shared" si="1"/>
        <v>500</v>
      </c>
      <c r="I22" t="s">
        <v>13</v>
      </c>
      <c r="J22" t="s">
        <v>91</v>
      </c>
    </row>
    <row r="23" spans="1:10">
      <c r="A23" t="s">
        <v>69</v>
      </c>
      <c r="B23" t="s">
        <v>57</v>
      </c>
      <c r="C23" t="s">
        <v>58</v>
      </c>
      <c r="D23">
        <v>50</v>
      </c>
      <c r="E23" s="4">
        <v>120</v>
      </c>
      <c r="F23" s="4">
        <f t="shared" si="0"/>
        <v>6000</v>
      </c>
      <c r="G23" s="4">
        <v>6500</v>
      </c>
      <c r="H23" s="4">
        <f t="shared" si="1"/>
        <v>500</v>
      </c>
      <c r="I23" t="s">
        <v>71</v>
      </c>
      <c r="J23" t="s">
        <v>92</v>
      </c>
    </row>
    <row r="24" spans="1:10">
      <c r="A24" t="s">
        <v>194</v>
      </c>
      <c r="B24" t="s">
        <v>59</v>
      </c>
      <c r="C24" t="s">
        <v>60</v>
      </c>
      <c r="D24">
        <v>15</v>
      </c>
      <c r="E24" s="4">
        <v>80</v>
      </c>
      <c r="F24" s="4">
        <f t="shared" si="0"/>
        <v>1200</v>
      </c>
      <c r="G24" s="4">
        <v>1500</v>
      </c>
      <c r="H24" s="4">
        <f t="shared" si="1"/>
        <v>300</v>
      </c>
      <c r="I24" t="s">
        <v>13</v>
      </c>
      <c r="J24" t="s">
        <v>93</v>
      </c>
    </row>
    <row r="25" spans="1:10">
      <c r="A25" t="s">
        <v>194</v>
      </c>
      <c r="B25" t="s">
        <v>61</v>
      </c>
      <c r="C25" t="s">
        <v>62</v>
      </c>
      <c r="D25">
        <v>1</v>
      </c>
      <c r="E25" s="4">
        <v>2800</v>
      </c>
      <c r="F25" s="4">
        <f t="shared" si="0"/>
        <v>2800</v>
      </c>
      <c r="G25" s="4">
        <v>3000</v>
      </c>
      <c r="H25" s="4">
        <f t="shared" si="1"/>
        <v>200</v>
      </c>
      <c r="I25" t="s">
        <v>13</v>
      </c>
      <c r="J25" t="s">
        <v>94</v>
      </c>
    </row>
    <row r="26" spans="1:10">
      <c r="A26" t="s">
        <v>194</v>
      </c>
      <c r="B26" t="s">
        <v>63</v>
      </c>
      <c r="C26" t="s">
        <v>64</v>
      </c>
      <c r="D26">
        <v>8</v>
      </c>
      <c r="E26" s="4">
        <v>150</v>
      </c>
      <c r="F26" s="4">
        <f t="shared" si="0"/>
        <v>1200</v>
      </c>
      <c r="G26" s="4">
        <v>1500</v>
      </c>
      <c r="H26" s="4">
        <f t="shared" si="1"/>
        <v>300</v>
      </c>
      <c r="I26" t="s">
        <v>13</v>
      </c>
      <c r="J26" t="s">
        <v>95</v>
      </c>
    </row>
    <row r="27" spans="1:10">
      <c r="A27" t="s">
        <v>194</v>
      </c>
      <c r="B27" t="s">
        <v>65</v>
      </c>
      <c r="C27" t="s">
        <v>66</v>
      </c>
      <c r="D27">
        <v>200</v>
      </c>
      <c r="E27" s="4">
        <v>15</v>
      </c>
      <c r="F27" s="4">
        <f t="shared" si="0"/>
        <v>3000</v>
      </c>
      <c r="G27" s="4">
        <v>3200</v>
      </c>
      <c r="H27" s="4">
        <f t="shared" si="1"/>
        <v>200</v>
      </c>
      <c r="I27" t="s">
        <v>13</v>
      </c>
      <c r="J27" t="s">
        <v>96</v>
      </c>
    </row>
    <row r="28" spans="1:10">
      <c r="A28" t="s">
        <v>194</v>
      </c>
      <c r="B28" t="s">
        <v>67</v>
      </c>
      <c r="C28" t="s">
        <v>68</v>
      </c>
      <c r="D28">
        <v>12</v>
      </c>
      <c r="E28" s="4">
        <v>45</v>
      </c>
      <c r="F28" s="4">
        <f t="shared" si="0"/>
        <v>540</v>
      </c>
      <c r="G28" s="4">
        <v>600</v>
      </c>
      <c r="H28" s="4">
        <f t="shared" si="1"/>
        <v>60</v>
      </c>
      <c r="I28" t="s">
        <v>13</v>
      </c>
      <c r="J28" t="s">
        <v>97</v>
      </c>
    </row>
    <row r="30" spans="1:10">
      <c r="F30" s="4">
        <f>SUM(F2:F28)</f>
        <v>154040</v>
      </c>
      <c r="G30" s="4">
        <f>SUM(G2:G28)</f>
        <v>169100</v>
      </c>
      <c r="H30" s="4">
        <f>SUM(H2:H28)</f>
        <v>15060</v>
      </c>
      <c r="I30" t="str">
        <f>COUNTIF(I2:I28,"Paid")&amp;" Paid / "&amp;COUNTA(I2:I28)&amp;" Total"</f>
        <v>19 Paid / 27 Total</v>
      </c>
      <c r="J30" t="str">
        <f>IF(H30&gt;0,"Under Budget by £"&amp;H30,"Over Budget by £"&amp;-H30)</f>
        <v>Under Budget by £15060</v>
      </c>
    </row>
  </sheetData>
  <conditionalFormatting sqref="H1048521:H1048576 H1:H1048519">
    <cfRule type="cellIs" dxfId="15" priority="2" operator="lessThan">
      <formula>0</formula>
    </cfRule>
  </conditionalFormatting>
  <conditionalFormatting sqref="H1048521:H1048576 H2:H28">
    <cfRule type="cellIs" dxfId="14" priority="1" operator="greaterThan">
      <formula>0</formula>
    </cfRule>
  </conditionalFormatting>
  <dataValidations count="3">
    <dataValidation type="list" allowBlank="1" showInputMessage="1" showErrorMessage="1" sqref="I1048521:I1048576 I31:I1048519 I27:I29" xr:uid="{56074795-2BFB-49E2-BAE7-F32820949AA8}">
      <formula1>"paid,pending,partial"</formula1>
    </dataValidation>
    <dataValidation type="list" allowBlank="1" showInputMessage="1" showErrorMessage="1" sqref="I2:I26" xr:uid="{895CB36C-1639-4BF5-9210-121400EE0A21}">
      <formula1>"paid,pending,partial,reimbursed"</formula1>
    </dataValidation>
    <dataValidation type="list" allowBlank="1" showInputMessage="1" showErrorMessage="1" sqref="A2:A28" xr:uid="{B4420903-0676-401E-9FFC-66F7B843A027}">
      <formula1>"design,engineering &amp; consulting,materials,permits &amp; approvals,fixtures &amp; equipment"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BCCE-A58A-480A-97AB-70C2FC5324BF}">
  <dimension ref="A1:L21"/>
  <sheetViews>
    <sheetView workbookViewId="0">
      <pane ySplit="1" topLeftCell="A2" activePane="bottomLeft" state="frozen"/>
      <selection pane="bottomLeft" activeCell="L2" sqref="L2:L21"/>
    </sheetView>
  </sheetViews>
  <sheetFormatPr defaultRowHeight="15"/>
  <cols>
    <col min="1" max="1" width="25.85546875" bestFit="1" customWidth="1"/>
    <col min="2" max="2" width="23.42578125" bestFit="1" customWidth="1"/>
    <col min="3" max="3" width="24.28515625" bestFit="1" customWidth="1"/>
    <col min="4" max="5" width="10.42578125" style="6" bestFit="1" customWidth="1"/>
    <col min="6" max="6" width="14.42578125" style="4" bestFit="1" customWidth="1"/>
    <col min="7" max="7" width="12.28515625" style="4" bestFit="1" customWidth="1"/>
    <col min="8" max="8" width="18.28515625" style="4" bestFit="1" customWidth="1"/>
    <col min="9" max="9" width="8.140625" bestFit="1" customWidth="1"/>
    <col min="10" max="10" width="37.5703125" bestFit="1" customWidth="1"/>
    <col min="11" max="11" width="15.85546875" bestFit="1" customWidth="1"/>
    <col min="12" max="12" width="13.85546875" bestFit="1" customWidth="1"/>
  </cols>
  <sheetData>
    <row r="1" spans="1:12">
      <c r="A1" s="1" t="s">
        <v>98</v>
      </c>
      <c r="B1" s="1" t="s">
        <v>99</v>
      </c>
      <c r="C1" s="1" t="s">
        <v>100</v>
      </c>
      <c r="D1" s="5" t="s">
        <v>101</v>
      </c>
      <c r="E1" s="5" t="s">
        <v>102</v>
      </c>
      <c r="F1" s="3" t="s">
        <v>103</v>
      </c>
      <c r="G1" s="3" t="s">
        <v>104</v>
      </c>
      <c r="H1" t="s">
        <v>105</v>
      </c>
      <c r="I1" s="1" t="s">
        <v>106</v>
      </c>
      <c r="J1" t="s">
        <v>161</v>
      </c>
      <c r="K1" t="s">
        <v>162</v>
      </c>
      <c r="L1" t="s">
        <v>164</v>
      </c>
    </row>
    <row r="2" spans="1:12">
      <c r="A2" t="s">
        <v>129</v>
      </c>
      <c r="B2" t="s">
        <v>107</v>
      </c>
      <c r="C2" t="s">
        <v>11</v>
      </c>
      <c r="D2" s="6">
        <v>46113</v>
      </c>
      <c r="E2" s="6">
        <v>46117</v>
      </c>
      <c r="F2" s="4">
        <v>25000</v>
      </c>
      <c r="G2" s="4">
        <v>25000</v>
      </c>
      <c r="H2" s="4">
        <f>F2-G2</f>
        <v>0</v>
      </c>
      <c r="I2" t="s">
        <v>13</v>
      </c>
      <c r="J2" t="str">
        <f>IF(OR(A2="EcoBuild Ltd",B2="Carpenter"),"Bamboo Floor Planks",
  IF(OR(A2="TerraFloor Supplies"),"Terrazzo Tiles, Terrazzo Sample Set",
  IF(OR(A2="EcoPaints UK"),"Lime-Wash Paint",
  IF(OR(A2="Lumina Studio",B2="Lighting Designer"),"Pendant Lamps, Matcha Counter Lighting",
  IF(OR(A2="SignArt London",B2="Signage Designer"),"Custom Signage",
  IF(OR(A2="BronzeCraft"),"Teaware Fixture Prototypes",
  IF(OR(A2="HeritageUK"),"Heritage Compliance Files",
  IF(OR(A2="FireSafe Pro"),"Safety Certificates",
  IF(OR(A2="AccessCheck Ltd"),"Accessibility Audit Reports",
  IF(OR(A2="GreenSpace Assoc"),"Landscape Plant Samples",
  IF(OR(A2="Autodesk UK"),"CAD Software License",
  IF(OR(A2="PrintPro London"),"Blueprint Sets",
  IF(OR(A2="DHL UK"),"Courier Deliveries",
  IF(OR(A2="ToolHire London"),"Site Survey Tools Rental",
  "General Materials"))))))))))))))</f>
        <v>General Materials</v>
      </c>
      <c r="K2" s="6" t="str">
        <f>IF(ISNUMBER(SEARCH("Bamboo",J2)),INDEX('Procurement and Deliveries'!D:D,MATCH("Bamboo Floor Planks",'Procurement and Deliveries'!A:A,0)),
IF(ISNUMBER(SEARCH("Terrazzo",J2)),INDEX('Procurement and Deliveries'!D:D,MATCH("Terrazzo Tiles",'Procurement and Deliveries'!A:A,0)),
IF(ISNUMBER(SEARCH("Lime-Wash",J2)),INDEX('Procurement and Deliveries'!D:D,MATCH("Lime-Wash Paint",'Procurement and Deliveries'!A:A,0)),
IF(ISNUMBER(SEARCH("Pendant",J2)),INDEX('Procurement and Deliveries'!D:D,MATCH("Pendant Lamps",'Procurement and Deliveries'!A:A,0)),
IF(ISNUMBER(SEARCH("Matcha",J2)),INDEX('Procurement and Deliveries'!D:D,MATCH("Matcha Counter Lighting",'Procurement and Deliveries'!A:A,0)),
IF(ISNUMBER(SEARCH("Signage",J2)),INDEX('Procurement and Deliveries'!D:D,MATCH("Custom Signage",'Procurement and Deliveries'!A:A,0)),
IF(ISNUMBER(SEARCH("Teaware",J2)),INDEX('Procurement and Deliveries'!D:D,MATCH("Teaware Fixture Prototypes",'Procurement and Deliveries'!A:A,0)),
IF(ISNUMBER(SEARCH("Heritage",J2)),INDEX('Procurement and Deliveries'!D:D,MATCH("Heritage Compliance Files",'Procurement and Deliveries'!A:A,0)),
IF(ISNUMBER(SEARCH("Safety",J2)),INDEX('Procurement and Deliveries'!D:D,MATCH("Safety Certificates",'Procurement and Deliveries'!A:A,0)),
IF(ISNUMBER(SEARCH("Accessibility",J2)),INDEX('Procurement and Deliveries'!D:D,MATCH("Accessibility Audit Reports",'Procurement and Deliveries'!A:A,0)),
IF(ISNUMBER(SEARCH("Landscape",J2)),INDEX('Procurement and Deliveries'!D:D,MATCH("Landscape Plant Samples",'Procurement and Deliveries'!A:A,0)),
IF(ISNUMBER(SEARCH("CAD",J2)),INDEX('Procurement and Deliveries'!D:D,MATCH("CAD Software License",'Procurement and Deliveries'!A:A,0)),
IF(ISNUMBER(SEARCH("Blueprint",J2)),INDEX('Procurement and Deliveries'!D:D,MATCH("Blueprint Sets",'Procurement and Deliveries'!A:A,0)),
IF(ISNUMBER(SEARCH("Courier",J2)),INDEX('Procurement and Deliveries'!D:D,MATCH("Courier Deliveries",'Procurement and Deliveries'!A:A,0)),
IF(ISNUMBER(SEARCH("Survey",J2)),INDEX('Procurement and Deliveries'!D:D,MATCH("Site Survey Tools Rental",'Procurement and Deliveries'!A:A,0)),"")))))))))))))))</f>
        <v/>
      </c>
      <c r="L2" t="str">
        <f>IF(J2="General Materials","",
  IFERROR(INDEX('Procurement and Deliveries'!G:G,MATCH(LEFT(TRIM(J2),FIND(",",TRIM(J2)&amp;",")-1),'Procurement and Deliveries'!A:A,0)),"No Match"))</f>
        <v/>
      </c>
    </row>
    <row r="3" spans="1:12">
      <c r="A3" t="s">
        <v>17</v>
      </c>
      <c r="B3" t="s">
        <v>108</v>
      </c>
      <c r="C3" t="s">
        <v>16</v>
      </c>
      <c r="D3" s="6">
        <v>46118</v>
      </c>
      <c r="E3" s="6">
        <v>46122</v>
      </c>
      <c r="F3" s="4">
        <v>18000</v>
      </c>
      <c r="G3" s="4">
        <v>18000</v>
      </c>
      <c r="H3" s="4">
        <f t="shared" ref="H3:H21" si="0">F3-G3</f>
        <v>0</v>
      </c>
      <c r="I3" t="s">
        <v>13</v>
      </c>
      <c r="J3" t="str">
        <f t="shared" ref="J3:J21" si="1">IF(OR(A3="EcoBuild Ltd",B3="Carpenter"),"Bamboo Floor Planks",
  IF(OR(A3="TerraFloor Supplies"),"Terrazzo Tiles, Terrazzo Sample Set",
  IF(OR(A3="EcoPaints UK"),"Lime-Wash Paint",
  IF(OR(A3="Lumina Studio",B3="Lighting Designer"),"Pendant Lamps, Matcha Counter Lighting",
  IF(OR(A3="SignArt London",B3="Signage Designer"),"Custom Signage",
  IF(OR(A3="BronzeCraft"),"Teaware Fixture Prototypes",
  IF(OR(A3="HeritageUK"),"Heritage Compliance Files",
  IF(OR(A3="FireSafe Pro"),"Safety Certificates",
  IF(OR(A3="AccessCheck Ltd"),"Accessibility Audit Reports",
  IF(OR(A3="GreenSpace Assoc"),"Landscape Plant Samples",
  IF(OR(A3="Autodesk UK"),"CAD Software License",
  IF(OR(A3="PrintPro London"),"Blueprint Sets",
  IF(OR(A3="DHL UK"),"Courier Deliveries",
  IF(OR(A3="ToolHire London"),"Site Survey Tools Rental",
  "General Materials"))))))))))))))</f>
        <v>General Materials</v>
      </c>
      <c r="K3" s="6"/>
      <c r="L3" t="str">
        <f>IF(J3="General Materials","",
  IFERROR(INDEX('Procurement and Deliveries'!G:G,MATCH(LEFT(TRIM(J3),FIND(",",TRIM(J3)&amp;",")-1),'Procurement and Deliveries'!A:A,0)),"No Match"))</f>
        <v/>
      </c>
    </row>
    <row r="4" spans="1:12">
      <c r="A4" t="s">
        <v>19</v>
      </c>
      <c r="B4" t="s">
        <v>109</v>
      </c>
      <c r="C4" t="s">
        <v>18</v>
      </c>
      <c r="D4" s="6">
        <v>46120</v>
      </c>
      <c r="E4" s="6">
        <v>46124</v>
      </c>
      <c r="F4" s="4">
        <v>8000</v>
      </c>
      <c r="G4" s="4">
        <v>0</v>
      </c>
      <c r="H4" s="4">
        <f t="shared" si="0"/>
        <v>8000</v>
      </c>
      <c r="I4" t="s">
        <v>70</v>
      </c>
      <c r="J4" t="str">
        <f t="shared" si="1"/>
        <v>General Materials</v>
      </c>
      <c r="K4" s="6" t="str">
        <f>IF(ISNUMBER(SEARCH("Bamboo",J4)),INDEX('Procurement and Deliveries'!D:D,MATCH("Bamboo Floor Planks",'Procurement and Deliveries'!A:A,0)),
IF(ISNUMBER(SEARCH("Terrazzo",J4)),INDEX('Procurement and Deliveries'!D:D,MATCH("Terrazzo Tiles",'Procurement and Deliveries'!A:A,0)),
IF(ISNUMBER(SEARCH("Lime-Wash",J4)),INDEX('Procurement and Deliveries'!D:D,MATCH("Lime-Wash Paint",'Procurement and Deliveries'!A:A,0)),
IF(ISNUMBER(SEARCH("Pendant",J4)),INDEX('Procurement and Deliveries'!D:D,MATCH("Pendant Lamps",'Procurement and Deliveries'!A:A,0)),
IF(ISNUMBER(SEARCH("Matcha",J4)),INDEX('Procurement and Deliveries'!D:D,MATCH("Matcha Counter Lighting",'Procurement and Deliveries'!A:A,0)),
IF(ISNUMBER(SEARCH("Signage",J4)),INDEX('Procurement and Deliveries'!D:D,MATCH("Custom Signage",'Procurement and Deliveries'!A:A,0)),
IF(ISNUMBER(SEARCH("Teaware",J4)),INDEX('Procurement and Deliveries'!D:D,MATCH("Teaware Fixture Prototypes",'Procurement and Deliveries'!A:A,0)),
IF(ISNUMBER(SEARCH("Heritage",J4)),INDEX('Procurement and Deliveries'!D:D,MATCH("Heritage Compliance Files",'Procurement and Deliveries'!A:A,0)),
IF(ISNUMBER(SEARCH("Safety",J4)),INDEX('Procurement and Deliveries'!D:D,MATCH("Safety Certificates",'Procurement and Deliveries'!A:A,0)),
IF(ISNUMBER(SEARCH("Accessibility",J4)),INDEX('Procurement and Deliveries'!D:D,MATCH("Accessibility Audit Reports",'Procurement and Deliveries'!A:A,0)),
IF(ISNUMBER(SEARCH("Landscape",J4)),INDEX('Procurement and Deliveries'!D:D,MATCH("Landscape Plant Samples",'Procurement and Deliveries'!A:A,0)),
IF(ISNUMBER(SEARCH("CAD",J4)),INDEX('Procurement and Deliveries'!D:D,MATCH("CAD Software License",'Procurement and Deliveries'!A:A,0)),
IF(ISNUMBER(SEARCH("Blueprint",J4)),INDEX('Procurement and Deliveries'!D:D,MATCH("Blueprint Sets",'Procurement and Deliveries'!A:A,0)),
IF(ISNUMBER(SEARCH("Courier",J4)),INDEX('Procurement and Deliveries'!D:D,MATCH("Courier Deliveries",'Procurement and Deliveries'!A:A,0)),
IF(ISNUMBER(SEARCH("Survey",J4)),INDEX('Procurement and Deliveries'!D:D,MATCH("Site Survey Tools Rental",'Procurement and Deliveries'!A:A,0)),"")))))))))))))))</f>
        <v/>
      </c>
      <c r="L4" t="str">
        <f>IF(J4="General Materials","",
  IFERROR(INDEX('Procurement and Deliveries'!G:G,MATCH(LEFT(TRIM(J4),FIND(",",TRIM(J4)&amp;",")-1),'Procurement and Deliveries'!A:A,0)),"No Match"))</f>
        <v/>
      </c>
    </row>
    <row r="5" spans="1:12">
      <c r="A5" t="s">
        <v>21</v>
      </c>
      <c r="B5" t="s">
        <v>111</v>
      </c>
      <c r="C5" t="s">
        <v>20</v>
      </c>
      <c r="D5" s="6">
        <v>46118</v>
      </c>
      <c r="E5" s="6">
        <v>46122</v>
      </c>
      <c r="F5" s="4">
        <v>6500</v>
      </c>
      <c r="G5" s="4">
        <v>6500</v>
      </c>
      <c r="H5" s="4">
        <f t="shared" si="0"/>
        <v>0</v>
      </c>
      <c r="I5" t="s">
        <v>13</v>
      </c>
      <c r="J5" t="str">
        <f t="shared" si="1"/>
        <v>General Materials</v>
      </c>
      <c r="K5" s="6"/>
      <c r="L5" t="str">
        <f>IF(J5="General Materials","",
  IFERROR(INDEX('Procurement and Deliveries'!G:G,MATCH(LEFT(TRIM(J5),FIND(",",TRIM(J5)&amp;",")-1),'Procurement and Deliveries'!A:A,0)),"No Match"))</f>
        <v/>
      </c>
    </row>
    <row r="6" spans="1:12">
      <c r="A6" t="s">
        <v>23</v>
      </c>
      <c r="B6" t="s">
        <v>112</v>
      </c>
      <c r="C6" t="s">
        <v>22</v>
      </c>
      <c r="D6" s="6">
        <v>46120</v>
      </c>
      <c r="E6" s="6">
        <v>46124</v>
      </c>
      <c r="F6" s="4">
        <v>4000</v>
      </c>
      <c r="G6" s="4">
        <v>4000</v>
      </c>
      <c r="H6" s="4">
        <f t="shared" si="0"/>
        <v>0</v>
      </c>
      <c r="I6" t="s">
        <v>13</v>
      </c>
      <c r="J6" t="str">
        <f t="shared" si="1"/>
        <v>General Materials</v>
      </c>
      <c r="K6" s="6" t="str">
        <f>IF(ISNUMBER(SEARCH("Bamboo",J6)),INDEX('Procurement and Deliveries'!D:D,MATCH("Bamboo Floor Planks",'Procurement and Deliveries'!A:A,0)),
IF(ISNUMBER(SEARCH("Terrazzo",J6)),INDEX('Procurement and Deliveries'!D:D,MATCH("Terrazzo Tiles",'Procurement and Deliveries'!A:A,0)),
IF(ISNUMBER(SEARCH("Lime-Wash",J6)),INDEX('Procurement and Deliveries'!D:D,MATCH("Lime-Wash Paint",'Procurement and Deliveries'!A:A,0)),
IF(ISNUMBER(SEARCH("Pendant",J6)),INDEX('Procurement and Deliveries'!D:D,MATCH("Pendant Lamps",'Procurement and Deliveries'!A:A,0)),
IF(ISNUMBER(SEARCH("Matcha",J6)),INDEX('Procurement and Deliveries'!D:D,MATCH("Matcha Counter Lighting",'Procurement and Deliveries'!A:A,0)),
IF(ISNUMBER(SEARCH("Signage",J6)),INDEX('Procurement and Deliveries'!D:D,MATCH("Custom Signage",'Procurement and Deliveries'!A:A,0)),
IF(ISNUMBER(SEARCH("Teaware",J6)),INDEX('Procurement and Deliveries'!D:D,MATCH("Teaware Fixture Prototypes",'Procurement and Deliveries'!A:A,0)),
IF(ISNUMBER(SEARCH("Heritage",J6)),INDEX('Procurement and Deliveries'!D:D,MATCH("Heritage Compliance Files",'Procurement and Deliveries'!A:A,0)),
IF(ISNUMBER(SEARCH("Safety",J6)),INDEX('Procurement and Deliveries'!D:D,MATCH("Safety Certificates",'Procurement and Deliveries'!A:A,0)),
IF(ISNUMBER(SEARCH("Accessibility",J6)),INDEX('Procurement and Deliveries'!D:D,MATCH("Accessibility Audit Reports",'Procurement and Deliveries'!A:A,0)),
IF(ISNUMBER(SEARCH("Landscape",J6)),INDEX('Procurement and Deliveries'!D:D,MATCH("Landscape Plant Samples",'Procurement and Deliveries'!A:A,0)),
IF(ISNUMBER(SEARCH("CAD",J6)),INDEX('Procurement and Deliveries'!D:D,MATCH("CAD Software License",'Procurement and Deliveries'!A:A,0)),
IF(ISNUMBER(SEARCH("Blueprint",J6)),INDEX('Procurement and Deliveries'!D:D,MATCH("Blueprint Sets",'Procurement and Deliveries'!A:A,0)),
IF(ISNUMBER(SEARCH("Courier",J6)),INDEX('Procurement and Deliveries'!D:D,MATCH("Courier Deliveries",'Procurement and Deliveries'!A:A,0)),
IF(ISNUMBER(SEARCH("Survey",J6)),INDEX('Procurement and Deliveries'!D:D,MATCH("Site Survey Tools Rental",'Procurement and Deliveries'!A:A,0)),"")))))))))))))))</f>
        <v/>
      </c>
      <c r="L6" t="str">
        <f>IF(J6="General Materials","",
  IFERROR(INDEX('Procurement and Deliveries'!G:G,MATCH(LEFT(TRIM(J6),FIND(",",TRIM(J6)&amp;",")-1),'Procurement and Deliveries'!A:A,0)),"No Match"))</f>
        <v/>
      </c>
    </row>
    <row r="7" spans="1:12">
      <c r="A7" t="s">
        <v>25</v>
      </c>
      <c r="B7" t="s">
        <v>113</v>
      </c>
      <c r="C7" t="s">
        <v>24</v>
      </c>
      <c r="D7" s="6">
        <v>46122</v>
      </c>
      <c r="E7" s="6">
        <v>46127</v>
      </c>
      <c r="F7" s="4">
        <v>2500</v>
      </c>
      <c r="G7" s="4">
        <v>2500</v>
      </c>
      <c r="H7" s="4">
        <f t="shared" si="0"/>
        <v>0</v>
      </c>
      <c r="I7" t="s">
        <v>13</v>
      </c>
      <c r="J7" t="str">
        <f t="shared" si="1"/>
        <v>General Materials</v>
      </c>
      <c r="K7" s="6"/>
      <c r="L7" t="str">
        <f>IF(J7="General Materials","",
  IFERROR(INDEX('Procurement and Deliveries'!G:G,MATCH(LEFT(TRIM(J7),FIND(",",TRIM(J7)&amp;",")-1),'Procurement and Deliveries'!A:A,0)),"No Match"))</f>
        <v/>
      </c>
    </row>
    <row r="8" spans="1:12">
      <c r="A8" t="s">
        <v>27</v>
      </c>
      <c r="B8" t="s">
        <v>114</v>
      </c>
      <c r="C8" t="s">
        <v>26</v>
      </c>
      <c r="D8" s="6">
        <v>46113</v>
      </c>
      <c r="E8" s="6">
        <v>46120</v>
      </c>
      <c r="F8" s="4">
        <v>3000</v>
      </c>
      <c r="G8" s="4">
        <v>3000</v>
      </c>
      <c r="H8" s="4">
        <f t="shared" si="0"/>
        <v>0</v>
      </c>
      <c r="I8" t="s">
        <v>13</v>
      </c>
      <c r="J8" t="str">
        <f t="shared" si="1"/>
        <v>General Materials</v>
      </c>
      <c r="K8" s="6" t="str">
        <f>IF(ISNUMBER(SEARCH("Bamboo",J8)),INDEX('Procurement and Deliveries'!D:D,MATCH("Bamboo Floor Planks",'Procurement and Deliveries'!A:A,0)),
IF(ISNUMBER(SEARCH("Terrazzo",J8)),INDEX('Procurement and Deliveries'!D:D,MATCH("Terrazzo Tiles",'Procurement and Deliveries'!A:A,0)),
IF(ISNUMBER(SEARCH("Lime-Wash",J8)),INDEX('Procurement and Deliveries'!D:D,MATCH("Lime-Wash Paint",'Procurement and Deliveries'!A:A,0)),
IF(ISNUMBER(SEARCH("Pendant",J8)),INDEX('Procurement and Deliveries'!D:D,MATCH("Pendant Lamps",'Procurement and Deliveries'!A:A,0)),
IF(ISNUMBER(SEARCH("Matcha",J8)),INDEX('Procurement and Deliveries'!D:D,MATCH("Matcha Counter Lighting",'Procurement and Deliveries'!A:A,0)),
IF(ISNUMBER(SEARCH("Signage",J8)),INDEX('Procurement and Deliveries'!D:D,MATCH("Custom Signage",'Procurement and Deliveries'!A:A,0)),
IF(ISNUMBER(SEARCH("Teaware",J8)),INDEX('Procurement and Deliveries'!D:D,MATCH("Teaware Fixture Prototypes",'Procurement and Deliveries'!A:A,0)),
IF(ISNUMBER(SEARCH("Heritage",J8)),INDEX('Procurement and Deliveries'!D:D,MATCH("Heritage Compliance Files",'Procurement and Deliveries'!A:A,0)),
IF(ISNUMBER(SEARCH("Safety",J8)),INDEX('Procurement and Deliveries'!D:D,MATCH("Safety Certificates",'Procurement and Deliveries'!A:A,0)),
IF(ISNUMBER(SEARCH("Accessibility",J8)),INDEX('Procurement and Deliveries'!D:D,MATCH("Accessibility Audit Reports",'Procurement and Deliveries'!A:A,0)),
IF(ISNUMBER(SEARCH("Landscape",J8)),INDEX('Procurement and Deliveries'!D:D,MATCH("Landscape Plant Samples",'Procurement and Deliveries'!A:A,0)),
IF(ISNUMBER(SEARCH("CAD",J8)),INDEX('Procurement and Deliveries'!D:D,MATCH("CAD Software License",'Procurement and Deliveries'!A:A,0)),
IF(ISNUMBER(SEARCH("Blueprint",J8)),INDEX('Procurement and Deliveries'!D:D,MATCH("Blueprint Sets",'Procurement and Deliveries'!A:A,0)),
IF(ISNUMBER(SEARCH("Courier",J8)),INDEX('Procurement and Deliveries'!D:D,MATCH("Courier Deliveries",'Procurement and Deliveries'!A:A,0)),
IF(ISNUMBER(SEARCH("Survey",J8)),INDEX('Procurement and Deliveries'!D:D,MATCH("Site Survey Tools Rental",'Procurement and Deliveries'!A:A,0)),"")))))))))))))))</f>
        <v/>
      </c>
      <c r="L8" t="str">
        <f>IF(J8="General Materials","",
  IFERROR(INDEX('Procurement and Deliveries'!G:G,MATCH(LEFT(TRIM(J8),FIND(",",TRIM(J8)&amp;",")-1),'Procurement and Deliveries'!A:A,0)),"No Match"))</f>
        <v/>
      </c>
    </row>
    <row r="9" spans="1:12">
      <c r="A9" t="s">
        <v>29</v>
      </c>
      <c r="B9" t="s">
        <v>115</v>
      </c>
      <c r="C9" t="s">
        <v>28</v>
      </c>
      <c r="D9" s="6">
        <v>46127</v>
      </c>
      <c r="E9" s="6">
        <v>46132</v>
      </c>
      <c r="F9" s="4">
        <v>5000</v>
      </c>
      <c r="G9" s="4">
        <v>0</v>
      </c>
      <c r="H9" s="4">
        <f t="shared" si="0"/>
        <v>5000</v>
      </c>
      <c r="I9" t="s">
        <v>70</v>
      </c>
      <c r="J9" t="str">
        <f t="shared" si="1"/>
        <v>General Materials</v>
      </c>
      <c r="K9" s="6"/>
      <c r="L9" t="str">
        <f>IF(J9="General Materials","",
  IFERROR(INDEX('Procurement and Deliveries'!G:G,MATCH(LEFT(TRIM(J9),FIND(",",TRIM(J9)&amp;",")-1),'Procurement and Deliveries'!A:A,0)),"No Match"))</f>
        <v/>
      </c>
    </row>
    <row r="10" spans="1:12">
      <c r="A10" t="s">
        <v>31</v>
      </c>
      <c r="B10" t="s">
        <v>30</v>
      </c>
      <c r="C10" t="s">
        <v>116</v>
      </c>
      <c r="D10" s="6">
        <v>46113</v>
      </c>
      <c r="E10" s="6">
        <v>46119</v>
      </c>
      <c r="F10" s="4">
        <v>2000</v>
      </c>
      <c r="G10" s="4">
        <v>2000</v>
      </c>
      <c r="H10" s="4">
        <f t="shared" si="0"/>
        <v>0</v>
      </c>
      <c r="I10" t="s">
        <v>13</v>
      </c>
      <c r="J10" t="str">
        <f t="shared" si="1"/>
        <v>Landscape Plant Samples</v>
      </c>
      <c r="K10" s="6">
        <f>IF(ISNUMBER(SEARCH("Bamboo",J10)),INDEX('Procurement and Deliveries'!D:D,MATCH("Bamboo Floor Planks",'Procurement and Deliveries'!A:A,0)),
IF(ISNUMBER(SEARCH("Terrazzo",J10)),INDEX('Procurement and Deliveries'!D:D,MATCH("Terrazzo Tiles",'Procurement and Deliveries'!A:A,0)),
IF(ISNUMBER(SEARCH("Lime-Wash",J10)),INDEX('Procurement and Deliveries'!D:D,MATCH("Lime-Wash Paint",'Procurement and Deliveries'!A:A,0)),
IF(ISNUMBER(SEARCH("Pendant",J10)),INDEX('Procurement and Deliveries'!D:D,MATCH("Pendant Lamps",'Procurement and Deliveries'!A:A,0)),
IF(ISNUMBER(SEARCH("Matcha",J10)),INDEX('Procurement and Deliveries'!D:D,MATCH("Matcha Counter Lighting",'Procurement and Deliveries'!A:A,0)),
IF(ISNUMBER(SEARCH("Signage",J10)),INDEX('Procurement and Deliveries'!D:D,MATCH("Custom Signage",'Procurement and Deliveries'!A:A,0)),
IF(ISNUMBER(SEARCH("Teaware",J10)),INDEX('Procurement and Deliveries'!D:D,MATCH("Teaware Fixture Prototypes",'Procurement and Deliveries'!A:A,0)),
IF(ISNUMBER(SEARCH("Heritage",J10)),INDEX('Procurement and Deliveries'!D:D,MATCH("Heritage Compliance Files",'Procurement and Deliveries'!A:A,0)),
IF(ISNUMBER(SEARCH("Safety",J10)),INDEX('Procurement and Deliveries'!D:D,MATCH("Safety Certificates",'Procurement and Deliveries'!A:A,0)),
IF(ISNUMBER(SEARCH("Accessibility",J10)),INDEX('Procurement and Deliveries'!D:D,MATCH("Accessibility Audit Reports",'Procurement and Deliveries'!A:A,0)),
IF(ISNUMBER(SEARCH("Landscape",J10)),INDEX('Procurement and Deliveries'!D:D,MATCH("Landscape Plant Samples",'Procurement and Deliveries'!A:A,0)),
IF(ISNUMBER(SEARCH("CAD",J10)),INDEX('Procurement and Deliveries'!D:D,MATCH("CAD Software License",'Procurement and Deliveries'!A:A,0)),
IF(ISNUMBER(SEARCH("Blueprint",J10)),INDEX('Procurement and Deliveries'!D:D,MATCH("Blueprint Sets",'Procurement and Deliveries'!A:A,0)),
IF(ISNUMBER(SEARCH("Courier",J10)),INDEX('Procurement and Deliveries'!D:D,MATCH("Courier Deliveries",'Procurement and Deliveries'!A:A,0)),
IF(ISNUMBER(SEARCH("Survey",J10)),INDEX('Procurement and Deliveries'!D:D,MATCH("Site Survey Tools Rental",'Procurement and Deliveries'!A:A,0)),"")))))))))))))))</f>
        <v>46077</v>
      </c>
      <c r="L10" t="str">
        <f>IF(J10="General Materials","",
  IFERROR(INDEX('Procurement and Deliveries'!G:G,MATCH(LEFT(TRIM(J10),FIND(",",TRIM(J10)&amp;",")-1),'Procurement and Deliveries'!A:A,0)),"No Match"))</f>
        <v>delivered</v>
      </c>
    </row>
    <row r="11" spans="1:12">
      <c r="A11" t="s">
        <v>33</v>
      </c>
      <c r="B11" t="s">
        <v>117</v>
      </c>
      <c r="C11" t="s">
        <v>32</v>
      </c>
      <c r="D11" s="6">
        <v>46130</v>
      </c>
      <c r="E11" s="6">
        <v>46134</v>
      </c>
      <c r="F11" s="4">
        <v>3500</v>
      </c>
      <c r="G11" s="4">
        <v>0</v>
      </c>
      <c r="H11" s="4">
        <f t="shared" si="0"/>
        <v>3500</v>
      </c>
      <c r="I11" t="s">
        <v>70</v>
      </c>
      <c r="J11" t="str">
        <f t="shared" si="1"/>
        <v>General Materials</v>
      </c>
      <c r="K11" s="6"/>
      <c r="L11" t="str">
        <f>IF(J11="General Materials","",
  IFERROR(INDEX('Procurement and Deliveries'!G:G,MATCH(LEFT(TRIM(J11),FIND(",",TRIM(J11)&amp;",")-1),'Procurement and Deliveries'!A:A,0)),"No Match"))</f>
        <v/>
      </c>
    </row>
    <row r="12" spans="1:12">
      <c r="A12" t="s">
        <v>35</v>
      </c>
      <c r="B12" t="s">
        <v>118</v>
      </c>
      <c r="C12" t="s">
        <v>34</v>
      </c>
      <c r="D12" s="6">
        <v>46122</v>
      </c>
      <c r="E12" s="6">
        <v>46126</v>
      </c>
      <c r="F12" s="4">
        <v>4000</v>
      </c>
      <c r="G12" s="4">
        <v>4000</v>
      </c>
      <c r="H12" s="4">
        <f t="shared" si="0"/>
        <v>0</v>
      </c>
      <c r="I12" t="s">
        <v>13</v>
      </c>
      <c r="J12" t="str">
        <f t="shared" si="1"/>
        <v>General Materials</v>
      </c>
      <c r="K12" s="6" t="str">
        <f>IF(ISNUMBER(SEARCH("Bamboo",J12)),INDEX('Procurement and Deliveries'!D:D,MATCH("Bamboo Floor Planks",'Procurement and Deliveries'!A:A,0)),
IF(ISNUMBER(SEARCH("Terrazzo",J12)),INDEX('Procurement and Deliveries'!D:D,MATCH("Terrazzo Tiles",'Procurement and Deliveries'!A:A,0)),
IF(ISNUMBER(SEARCH("Lime-Wash",J12)),INDEX('Procurement and Deliveries'!D:D,MATCH("Lime-Wash Paint",'Procurement and Deliveries'!A:A,0)),
IF(ISNUMBER(SEARCH("Pendant",J12)),INDEX('Procurement and Deliveries'!D:D,MATCH("Pendant Lamps",'Procurement and Deliveries'!A:A,0)),
IF(ISNUMBER(SEARCH("Matcha",J12)),INDEX('Procurement and Deliveries'!D:D,MATCH("Matcha Counter Lighting",'Procurement and Deliveries'!A:A,0)),
IF(ISNUMBER(SEARCH("Signage",J12)),INDEX('Procurement and Deliveries'!D:D,MATCH("Custom Signage",'Procurement and Deliveries'!A:A,0)),
IF(ISNUMBER(SEARCH("Teaware",J12)),INDEX('Procurement and Deliveries'!D:D,MATCH("Teaware Fixture Prototypes",'Procurement and Deliveries'!A:A,0)),
IF(ISNUMBER(SEARCH("Heritage",J12)),INDEX('Procurement and Deliveries'!D:D,MATCH("Heritage Compliance Files",'Procurement and Deliveries'!A:A,0)),
IF(ISNUMBER(SEARCH("Safety",J12)),INDEX('Procurement and Deliveries'!D:D,MATCH("Safety Certificates",'Procurement and Deliveries'!A:A,0)),
IF(ISNUMBER(SEARCH("Accessibility",J12)),INDEX('Procurement and Deliveries'!D:D,MATCH("Accessibility Audit Reports",'Procurement and Deliveries'!A:A,0)),
IF(ISNUMBER(SEARCH("Landscape",J12)),INDEX('Procurement and Deliveries'!D:D,MATCH("Landscape Plant Samples",'Procurement and Deliveries'!A:A,0)),
IF(ISNUMBER(SEARCH("CAD",J12)),INDEX('Procurement and Deliveries'!D:D,MATCH("CAD Software License",'Procurement and Deliveries'!A:A,0)),
IF(ISNUMBER(SEARCH("Blueprint",J12)),INDEX('Procurement and Deliveries'!D:D,MATCH("Blueprint Sets",'Procurement and Deliveries'!A:A,0)),
IF(ISNUMBER(SEARCH("Courier",J12)),INDEX('Procurement and Deliveries'!D:D,MATCH("Courier Deliveries",'Procurement and Deliveries'!A:A,0)),
IF(ISNUMBER(SEARCH("Survey",J12)),INDEX('Procurement and Deliveries'!D:D,MATCH("Site Survey Tools Rental",'Procurement and Deliveries'!A:A,0)),"")))))))))))))))</f>
        <v/>
      </c>
      <c r="L12" t="str">
        <f>IF(J12="General Materials","",
  IFERROR(INDEX('Procurement and Deliveries'!G:G,MATCH(LEFT(TRIM(J12),FIND(",",TRIM(J12)&amp;",")-1),'Procurement and Deliveries'!A:A,0)),"No Match"))</f>
        <v/>
      </c>
    </row>
    <row r="13" spans="1:12">
      <c r="A13" t="s">
        <v>37</v>
      </c>
      <c r="B13" t="s">
        <v>36</v>
      </c>
      <c r="C13" t="s">
        <v>119</v>
      </c>
      <c r="D13" s="6">
        <v>46117</v>
      </c>
      <c r="E13" s="6">
        <v>46121</v>
      </c>
      <c r="F13" s="4">
        <v>7000</v>
      </c>
      <c r="G13" s="4">
        <v>7000</v>
      </c>
      <c r="H13" s="4">
        <f t="shared" si="0"/>
        <v>0</v>
      </c>
      <c r="I13" t="s">
        <v>13</v>
      </c>
      <c r="J13" t="str">
        <f t="shared" si="1"/>
        <v>General Materials</v>
      </c>
      <c r="K13" s="6"/>
      <c r="L13" t="str">
        <f>IF(J13="General Materials","",
  IFERROR(INDEX('Procurement and Deliveries'!G:G,MATCH(LEFT(TRIM(J13),FIND(",",TRIM(J13)&amp;",")-1),'Procurement and Deliveries'!A:A,0)),"No Match"))</f>
        <v/>
      </c>
    </row>
    <row r="14" spans="1:12">
      <c r="A14" t="s">
        <v>39</v>
      </c>
      <c r="B14" t="s">
        <v>120</v>
      </c>
      <c r="C14" t="s">
        <v>38</v>
      </c>
      <c r="D14" s="6">
        <v>46113</v>
      </c>
      <c r="E14" s="6">
        <v>46142</v>
      </c>
      <c r="F14" s="4">
        <v>12000</v>
      </c>
      <c r="G14" s="4">
        <v>6000</v>
      </c>
      <c r="H14" s="4">
        <f t="shared" si="0"/>
        <v>6000</v>
      </c>
      <c r="I14" t="s">
        <v>71</v>
      </c>
      <c r="J14" t="str">
        <f t="shared" si="1"/>
        <v>General Materials</v>
      </c>
      <c r="K14" s="6" t="str">
        <f>IF(ISNUMBER(SEARCH("Bamboo",J14)),INDEX('Procurement and Deliveries'!D:D,MATCH("Bamboo Floor Planks",'Procurement and Deliveries'!A:A,0)),
IF(ISNUMBER(SEARCH("Terrazzo",J14)),INDEX('Procurement and Deliveries'!D:D,MATCH("Terrazzo Tiles",'Procurement and Deliveries'!A:A,0)),
IF(ISNUMBER(SEARCH("Lime-Wash",J14)),INDEX('Procurement and Deliveries'!D:D,MATCH("Lime-Wash Paint",'Procurement and Deliveries'!A:A,0)),
IF(ISNUMBER(SEARCH("Pendant",J14)),INDEX('Procurement and Deliveries'!D:D,MATCH("Pendant Lamps",'Procurement and Deliveries'!A:A,0)),
IF(ISNUMBER(SEARCH("Matcha",J14)),INDEX('Procurement and Deliveries'!D:D,MATCH("Matcha Counter Lighting",'Procurement and Deliveries'!A:A,0)),
IF(ISNUMBER(SEARCH("Signage",J14)),INDEX('Procurement and Deliveries'!D:D,MATCH("Custom Signage",'Procurement and Deliveries'!A:A,0)),
IF(ISNUMBER(SEARCH("Teaware",J14)),INDEX('Procurement and Deliveries'!D:D,MATCH("Teaware Fixture Prototypes",'Procurement and Deliveries'!A:A,0)),
IF(ISNUMBER(SEARCH("Heritage",J14)),INDEX('Procurement and Deliveries'!D:D,MATCH("Heritage Compliance Files",'Procurement and Deliveries'!A:A,0)),
IF(ISNUMBER(SEARCH("Safety",J14)),INDEX('Procurement and Deliveries'!D:D,MATCH("Safety Certificates",'Procurement and Deliveries'!A:A,0)),
IF(ISNUMBER(SEARCH("Accessibility",J14)),INDEX('Procurement and Deliveries'!D:D,MATCH("Accessibility Audit Reports",'Procurement and Deliveries'!A:A,0)),
IF(ISNUMBER(SEARCH("Landscape",J14)),INDEX('Procurement and Deliveries'!D:D,MATCH("Landscape Plant Samples",'Procurement and Deliveries'!A:A,0)),
IF(ISNUMBER(SEARCH("CAD",J14)),INDEX('Procurement and Deliveries'!D:D,MATCH("CAD Software License",'Procurement and Deliveries'!A:A,0)),
IF(ISNUMBER(SEARCH("Blueprint",J14)),INDEX('Procurement and Deliveries'!D:D,MATCH("Blueprint Sets",'Procurement and Deliveries'!A:A,0)),
IF(ISNUMBER(SEARCH("Courier",J14)),INDEX('Procurement and Deliveries'!D:D,MATCH("Courier Deliveries",'Procurement and Deliveries'!A:A,0)),
IF(ISNUMBER(SEARCH("Survey",J14)),INDEX('Procurement and Deliveries'!D:D,MATCH("Site Survey Tools Rental",'Procurement and Deliveries'!A:A,0)),"")))))))))))))))</f>
        <v/>
      </c>
      <c r="L14" t="str">
        <f>IF(J14="General Materials","",
  IFERROR(INDEX('Procurement and Deliveries'!G:G,MATCH(LEFT(TRIM(J14),FIND(",",TRIM(J14)&amp;",")-1),'Procurement and Deliveries'!A:A,0)),"No Match"))</f>
        <v/>
      </c>
    </row>
    <row r="15" spans="1:12">
      <c r="A15" t="s">
        <v>41</v>
      </c>
      <c r="B15" t="s">
        <v>121</v>
      </c>
      <c r="C15" t="s">
        <v>40</v>
      </c>
      <c r="D15" s="6">
        <v>46132</v>
      </c>
      <c r="E15" s="6">
        <v>46137</v>
      </c>
      <c r="F15" s="4">
        <v>4500</v>
      </c>
      <c r="G15" s="4">
        <v>0</v>
      </c>
      <c r="H15" s="4">
        <f t="shared" si="0"/>
        <v>4500</v>
      </c>
      <c r="I15" t="s">
        <v>70</v>
      </c>
      <c r="J15" t="str">
        <f t="shared" si="1"/>
        <v>Pendant Lamps, Matcha Counter Lighting</v>
      </c>
      <c r="K15" s="6"/>
      <c r="L15" t="str">
        <f>IF(J15="General Materials","",
  IFERROR(INDEX('Procurement and Deliveries'!G:G,MATCH(LEFT(TRIM(J15),FIND(",",TRIM(J15)&amp;",")-1),'Procurement and Deliveries'!A:A,0)),"No Match"))</f>
        <v>pending</v>
      </c>
    </row>
    <row r="16" spans="1:12">
      <c r="A16" t="s">
        <v>43</v>
      </c>
      <c r="B16" t="s">
        <v>122</v>
      </c>
      <c r="C16" t="s">
        <v>42</v>
      </c>
      <c r="D16" s="6">
        <v>46122</v>
      </c>
      <c r="E16" s="6">
        <v>46128</v>
      </c>
      <c r="F16" s="4">
        <v>6000</v>
      </c>
      <c r="G16" s="4">
        <v>6000</v>
      </c>
      <c r="H16" s="4">
        <f t="shared" si="0"/>
        <v>0</v>
      </c>
      <c r="I16" t="s">
        <v>13</v>
      </c>
      <c r="J16" t="str">
        <f t="shared" si="1"/>
        <v>Teaware Fixture Prototypes</v>
      </c>
      <c r="K16" s="6">
        <f>IF(ISNUMBER(SEARCH("Bamboo",J16)),INDEX('Procurement and Deliveries'!D:D,MATCH("Bamboo Floor Planks",'Procurement and Deliveries'!A:A,0)),
IF(ISNUMBER(SEARCH("Terrazzo",J16)),INDEX('Procurement and Deliveries'!D:D,MATCH("Terrazzo Tiles",'Procurement and Deliveries'!A:A,0)),
IF(ISNUMBER(SEARCH("Lime-Wash",J16)),INDEX('Procurement and Deliveries'!D:D,MATCH("Lime-Wash Paint",'Procurement and Deliveries'!A:A,0)),
IF(ISNUMBER(SEARCH("Pendant",J16)),INDEX('Procurement and Deliveries'!D:D,MATCH("Pendant Lamps",'Procurement and Deliveries'!A:A,0)),
IF(ISNUMBER(SEARCH("Matcha",J16)),INDEX('Procurement and Deliveries'!D:D,MATCH("Matcha Counter Lighting",'Procurement and Deliveries'!A:A,0)),
IF(ISNUMBER(SEARCH("Signage",J16)),INDEX('Procurement and Deliveries'!D:D,MATCH("Custom Signage",'Procurement and Deliveries'!A:A,0)),
IF(ISNUMBER(SEARCH("Teaware",J16)),INDEX('Procurement and Deliveries'!D:D,MATCH("Teaware Fixture Prototypes",'Procurement and Deliveries'!A:A,0)),
IF(ISNUMBER(SEARCH("Heritage",J16)),INDEX('Procurement and Deliveries'!D:D,MATCH("Heritage Compliance Files",'Procurement and Deliveries'!A:A,0)),
IF(ISNUMBER(SEARCH("Safety",J16)),INDEX('Procurement and Deliveries'!D:D,MATCH("Safety Certificates",'Procurement and Deliveries'!A:A,0)),
IF(ISNUMBER(SEARCH("Accessibility",J16)),INDEX('Procurement and Deliveries'!D:D,MATCH("Accessibility Audit Reports",'Procurement and Deliveries'!A:A,0)),
IF(ISNUMBER(SEARCH("Landscape",J16)),INDEX('Procurement and Deliveries'!D:D,MATCH("Landscape Plant Samples",'Procurement and Deliveries'!A:A,0)),
IF(ISNUMBER(SEARCH("CAD",J16)),INDEX('Procurement and Deliveries'!D:D,MATCH("CAD Software License",'Procurement and Deliveries'!A:A,0)),
IF(ISNUMBER(SEARCH("Blueprint",J16)),INDEX('Procurement and Deliveries'!D:D,MATCH("Blueprint Sets",'Procurement and Deliveries'!A:A,0)),
IF(ISNUMBER(SEARCH("Courier",J16)),INDEX('Procurement and Deliveries'!D:D,MATCH("Courier Deliveries",'Procurement and Deliveries'!A:A,0)),
IF(ISNUMBER(SEARCH("Survey",J16)),INDEX('Procurement and Deliveries'!D:D,MATCH("Site Survey Tools Rental",'Procurement and Deliveries'!A:A,0)),"")))))))))))))))</f>
        <v>46069</v>
      </c>
      <c r="L16" t="str">
        <f>IF(J16="General Materials","",
  IFERROR(INDEX('Procurement and Deliveries'!G:G,MATCH(LEFT(TRIM(J16),FIND(",",TRIM(J16)&amp;",")-1),'Procurement and Deliveries'!A:A,0)),"No Match"))</f>
        <v>delivered</v>
      </c>
    </row>
    <row r="17" spans="1:12">
      <c r="A17" t="s">
        <v>45</v>
      </c>
      <c r="B17" t="s">
        <v>44</v>
      </c>
      <c r="C17" t="s">
        <v>123</v>
      </c>
      <c r="D17" s="6">
        <v>46117</v>
      </c>
      <c r="E17" s="6">
        <v>46140</v>
      </c>
      <c r="F17" s="4">
        <v>3500</v>
      </c>
      <c r="G17" s="4">
        <v>3500</v>
      </c>
      <c r="H17" s="4">
        <f t="shared" si="0"/>
        <v>0</v>
      </c>
      <c r="I17" t="s">
        <v>13</v>
      </c>
      <c r="J17" t="str">
        <f t="shared" si="1"/>
        <v>Heritage Compliance Files</v>
      </c>
      <c r="K17" s="6"/>
      <c r="L17" t="str">
        <f>IF(J17="General Materials","",
  IFERROR(INDEX('Procurement and Deliveries'!G:G,MATCH(LEFT(TRIM(J17),FIND(",",TRIM(J17)&amp;",")-1),'Procurement and Deliveries'!A:A,0)),"No Match"))</f>
        <v>delivered</v>
      </c>
    </row>
    <row r="18" spans="1:12">
      <c r="A18" t="s">
        <v>47</v>
      </c>
      <c r="B18" t="s">
        <v>124</v>
      </c>
      <c r="C18" t="s">
        <v>125</v>
      </c>
      <c r="D18" s="6">
        <v>46132</v>
      </c>
      <c r="E18" s="6">
        <v>46140</v>
      </c>
      <c r="F18" s="4">
        <v>4000</v>
      </c>
      <c r="G18" s="4">
        <v>0</v>
      </c>
      <c r="H18" s="4">
        <f t="shared" si="0"/>
        <v>4000</v>
      </c>
      <c r="I18" t="s">
        <v>70</v>
      </c>
      <c r="J18" t="str">
        <f t="shared" si="1"/>
        <v>Safety Certificates</v>
      </c>
      <c r="K18" s="6">
        <f>IF(ISNUMBER(SEARCH("Bamboo",J18)),INDEX('Procurement and Deliveries'!D:D,MATCH("Bamboo Floor Planks",'Procurement and Deliveries'!A:A,0)),
IF(ISNUMBER(SEARCH("Terrazzo",J18)),INDEX('Procurement and Deliveries'!D:D,MATCH("Terrazzo Tiles",'Procurement and Deliveries'!A:A,0)),
IF(ISNUMBER(SEARCH("Lime-Wash",J18)),INDEX('Procurement and Deliveries'!D:D,MATCH("Lime-Wash Paint",'Procurement and Deliveries'!A:A,0)),
IF(ISNUMBER(SEARCH("Pendant",J18)),INDEX('Procurement and Deliveries'!D:D,MATCH("Pendant Lamps",'Procurement and Deliveries'!A:A,0)),
IF(ISNUMBER(SEARCH("Matcha",J18)),INDEX('Procurement and Deliveries'!D:D,MATCH("Matcha Counter Lighting",'Procurement and Deliveries'!A:A,0)),
IF(ISNUMBER(SEARCH("Signage",J18)),INDEX('Procurement and Deliveries'!D:D,MATCH("Custom Signage",'Procurement and Deliveries'!A:A,0)),
IF(ISNUMBER(SEARCH("Teaware",J18)),INDEX('Procurement and Deliveries'!D:D,MATCH("Teaware Fixture Prototypes",'Procurement and Deliveries'!A:A,0)),
IF(ISNUMBER(SEARCH("Heritage",J18)),INDEX('Procurement and Deliveries'!D:D,MATCH("Heritage Compliance Files",'Procurement and Deliveries'!A:A,0)),
IF(ISNUMBER(SEARCH("Safety",J18)),INDEX('Procurement and Deliveries'!D:D,MATCH("Safety Certificates",'Procurement and Deliveries'!A:A,0)),
IF(ISNUMBER(SEARCH("Accessibility",J18)),INDEX('Procurement and Deliveries'!D:D,MATCH("Accessibility Audit Reports",'Procurement and Deliveries'!A:A,0)),
IF(ISNUMBER(SEARCH("Landscape",J18)),INDEX('Procurement and Deliveries'!D:D,MATCH("Landscape Plant Samples",'Procurement and Deliveries'!A:A,0)),
IF(ISNUMBER(SEARCH("CAD",J18)),INDEX('Procurement and Deliveries'!D:D,MATCH("CAD Software License",'Procurement and Deliveries'!A:A,0)),
IF(ISNUMBER(SEARCH("Blueprint",J18)),INDEX('Procurement and Deliveries'!D:D,MATCH("Blueprint Sets",'Procurement and Deliveries'!A:A,0)),
IF(ISNUMBER(SEARCH("Courier",J18)),INDEX('Procurement and Deliveries'!D:D,MATCH("Courier Deliveries",'Procurement and Deliveries'!A:A,0)),
IF(ISNUMBER(SEARCH("Survey",J18)),INDEX('Procurement and Deliveries'!D:D,MATCH("Site Survey Tools Rental",'Procurement and Deliveries'!A:A,0)),"")))))))))))))))</f>
        <v>46081</v>
      </c>
      <c r="L18" t="str">
        <f>IF(J18="General Materials","",
  IFERROR(INDEX('Procurement and Deliveries'!G:G,MATCH(LEFT(TRIM(J18),FIND(",",TRIM(J18)&amp;",")-1),'Procurement and Deliveries'!A:A,0)),"No Match"))</f>
        <v>pending</v>
      </c>
    </row>
    <row r="19" spans="1:12">
      <c r="A19" t="s">
        <v>49</v>
      </c>
      <c r="B19" t="s">
        <v>126</v>
      </c>
      <c r="C19" t="s">
        <v>48</v>
      </c>
      <c r="D19" s="6">
        <v>46122</v>
      </c>
      <c r="E19" s="6">
        <v>46131</v>
      </c>
      <c r="F19" s="4">
        <v>2500</v>
      </c>
      <c r="G19" s="4">
        <v>2500</v>
      </c>
      <c r="H19" s="4">
        <f t="shared" si="0"/>
        <v>0</v>
      </c>
      <c r="I19" t="s">
        <v>13</v>
      </c>
      <c r="J19" t="str">
        <f t="shared" si="1"/>
        <v>Accessibility Audit Reports</v>
      </c>
      <c r="K19" s="6"/>
      <c r="L19" t="str">
        <f>IF(J19="General Materials","",
  IFERROR(INDEX('Procurement and Deliveries'!G:G,MATCH(LEFT(TRIM(J19),FIND(",",TRIM(J19)&amp;",")-1),'Procurement and Deliveries'!A:A,0)),"No Match"))</f>
        <v>delivered</v>
      </c>
    </row>
    <row r="20" spans="1:12">
      <c r="A20" t="s">
        <v>51</v>
      </c>
      <c r="B20" t="s">
        <v>127</v>
      </c>
      <c r="C20" t="s">
        <v>50</v>
      </c>
      <c r="D20" s="6">
        <v>46114</v>
      </c>
      <c r="E20" s="6">
        <v>46118</v>
      </c>
      <c r="F20" s="4">
        <v>3000</v>
      </c>
      <c r="G20" s="4">
        <v>3000</v>
      </c>
      <c r="H20" s="4">
        <f t="shared" si="0"/>
        <v>0</v>
      </c>
      <c r="I20" t="s">
        <v>13</v>
      </c>
      <c r="J20" t="str">
        <f t="shared" si="1"/>
        <v>Custom Signage</v>
      </c>
      <c r="K20" s="6">
        <f>IF(ISNUMBER(SEARCH("Bamboo",J20)),INDEX('Procurement and Deliveries'!D:D,MATCH("Bamboo Floor Planks",'Procurement and Deliveries'!A:A,0)),
IF(ISNUMBER(SEARCH("Terrazzo",J20)),INDEX('Procurement and Deliveries'!D:D,MATCH("Terrazzo Tiles",'Procurement and Deliveries'!A:A,0)),
IF(ISNUMBER(SEARCH("Lime-Wash",J20)),INDEX('Procurement and Deliveries'!D:D,MATCH("Lime-Wash Paint",'Procurement and Deliveries'!A:A,0)),
IF(ISNUMBER(SEARCH("Pendant",J20)),INDEX('Procurement and Deliveries'!D:D,MATCH("Pendant Lamps",'Procurement and Deliveries'!A:A,0)),
IF(ISNUMBER(SEARCH("Matcha",J20)),INDEX('Procurement and Deliveries'!D:D,MATCH("Matcha Counter Lighting",'Procurement and Deliveries'!A:A,0)),
IF(ISNUMBER(SEARCH("Signage",J20)),INDEX('Procurement and Deliveries'!D:D,MATCH("Custom Signage",'Procurement and Deliveries'!A:A,0)),
IF(ISNUMBER(SEARCH("Teaware",J20)),INDEX('Procurement and Deliveries'!D:D,MATCH("Teaware Fixture Prototypes",'Procurement and Deliveries'!A:A,0)),
IF(ISNUMBER(SEARCH("Heritage",J20)),INDEX('Procurement and Deliveries'!D:D,MATCH("Heritage Compliance Files",'Procurement and Deliveries'!A:A,0)),
IF(ISNUMBER(SEARCH("Safety",J20)),INDEX('Procurement and Deliveries'!D:D,MATCH("Safety Certificates",'Procurement and Deliveries'!A:A,0)),
IF(ISNUMBER(SEARCH("Accessibility",J20)),INDEX('Procurement and Deliveries'!D:D,MATCH("Accessibility Audit Reports",'Procurement and Deliveries'!A:A,0)),
IF(ISNUMBER(SEARCH("Landscape",J20)),INDEX('Procurement and Deliveries'!D:D,MATCH("Landscape Plant Samples",'Procurement and Deliveries'!A:A,0)),
IF(ISNUMBER(SEARCH("CAD",J20)),INDEX('Procurement and Deliveries'!D:D,MATCH("CAD Software License",'Procurement and Deliveries'!A:A,0)),
IF(ISNUMBER(SEARCH("Blueprint",J20)),INDEX('Procurement and Deliveries'!D:D,MATCH("Blueprint Sets",'Procurement and Deliveries'!A:A,0)),
IF(ISNUMBER(SEARCH("Courier",J20)),INDEX('Procurement and Deliveries'!D:D,MATCH("Courier Deliveries",'Procurement and Deliveries'!A:A,0)),
IF(ISNUMBER(SEARCH("Survey",J20)),INDEX('Procurement and Deliveries'!D:D,MATCH("Site Survey Tools Rental",'Procurement and Deliveries'!A:A,0)),"")))))))))))))))</f>
        <v>46071</v>
      </c>
      <c r="L20" t="str">
        <f>IF(J20="General Materials","",
  IFERROR(INDEX('Procurement and Deliveries'!G:G,MATCH(LEFT(TRIM(J20),FIND(",",TRIM(J20)&amp;",")-1),'Procurement and Deliveries'!A:A,0)),"No Match"))</f>
        <v>delivered</v>
      </c>
    </row>
    <row r="21" spans="1:12">
      <c r="A21" t="s">
        <v>53</v>
      </c>
      <c r="B21" t="s">
        <v>52</v>
      </c>
      <c r="C21" t="s">
        <v>128</v>
      </c>
      <c r="D21" s="6">
        <v>46132</v>
      </c>
      <c r="E21" s="6">
        <v>46139</v>
      </c>
      <c r="F21" s="4">
        <v>10800</v>
      </c>
      <c r="G21" s="4">
        <v>0</v>
      </c>
      <c r="H21" s="4">
        <f t="shared" si="0"/>
        <v>10800</v>
      </c>
      <c r="I21" t="s">
        <v>70</v>
      </c>
      <c r="J21" t="str">
        <f t="shared" si="1"/>
        <v>General Materials</v>
      </c>
      <c r="K21" s="6"/>
      <c r="L21" t="str">
        <f>IF(J21="General Materials","",
  IFERROR(INDEX('Procurement and Deliveries'!G:G,MATCH(LEFT(TRIM(J21),FIND(",",TRIM(J21)&amp;",")-1),'Procurement and Deliveries'!A:A,0)),"No Match"))</f>
        <v/>
      </c>
    </row>
  </sheetData>
  <phoneticPr fontId="2" type="noConversion"/>
  <conditionalFormatting sqref="H2:H21">
    <cfRule type="cellIs" dxfId="13" priority="8" operator="greaterThan">
      <formula>0</formula>
    </cfRule>
  </conditionalFormatting>
  <conditionalFormatting sqref="E2:E21">
    <cfRule type="expression" dxfId="12" priority="7">
      <formula>AND($E2-TODAY()&lt;=7,$E2&gt;=TODAY(),$I2&lt;&gt;"Paid")</formula>
    </cfRule>
  </conditionalFormatting>
  <conditionalFormatting sqref="I2:I21">
    <cfRule type="cellIs" dxfId="11" priority="4" operator="equal">
      <formula>"paid"</formula>
    </cfRule>
    <cfRule type="cellIs" dxfId="10" priority="5" operator="equal">
      <formula>"pending"</formula>
    </cfRule>
    <cfRule type="cellIs" dxfId="9" priority="6" operator="equal">
      <formula>"partial"</formula>
    </cfRule>
  </conditionalFormatting>
  <conditionalFormatting sqref="A1:I21">
    <cfRule type="expression" dxfId="8" priority="1">
      <formula>AND($E2&lt;TODAY(),$I2&lt;&gt;"Paid")</formula>
    </cfRule>
  </conditionalFormatting>
  <dataValidations count="1">
    <dataValidation type="list" allowBlank="1" showInputMessage="1" showErrorMessage="1" sqref="I2:I21" xr:uid="{2C2516A0-3715-41DE-845F-811198582020}">
      <formula1>"paid,partial,pending,reimbursed"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6B51-5E55-4686-811B-67634DC49732}">
  <dimension ref="A1:L27"/>
  <sheetViews>
    <sheetView workbookViewId="0">
      <pane ySplit="1" topLeftCell="A2" activePane="bottomLeft" state="frozen"/>
      <selection pane="bottomLeft" activeCell="C18" sqref="C18"/>
    </sheetView>
  </sheetViews>
  <sheetFormatPr defaultRowHeight="15"/>
  <cols>
    <col min="1" max="1" width="25.85546875" bestFit="1" customWidth="1"/>
    <col min="2" max="2" width="21.140625" bestFit="1" customWidth="1"/>
    <col min="3" max="3" width="10.85546875" style="6" bestFit="1" customWidth="1"/>
    <col min="4" max="4" width="18.5703125" bestFit="1" customWidth="1"/>
    <col min="5" max="5" width="14.28515625" style="6" bestFit="1" customWidth="1"/>
    <col min="6" max="6" width="8.7109375" style="8" bestFit="1" customWidth="1"/>
    <col min="7" max="7" width="14.28515625" bestFit="1" customWidth="1"/>
    <col min="8" max="8" width="10.85546875" bestFit="1" customWidth="1"/>
    <col min="9" max="9" width="6.42578125" bestFit="1" customWidth="1"/>
    <col min="10" max="10" width="18.28515625" bestFit="1" customWidth="1"/>
    <col min="11" max="11" width="17.28515625" bestFit="1" customWidth="1"/>
    <col min="12" max="12" width="14.5703125" bestFit="1" customWidth="1"/>
  </cols>
  <sheetData>
    <row r="1" spans="1:12">
      <c r="A1" s="1" t="s">
        <v>130</v>
      </c>
      <c r="B1" s="1" t="s">
        <v>131</v>
      </c>
      <c r="C1" s="5" t="s">
        <v>132</v>
      </c>
      <c r="D1" s="1" t="s">
        <v>133</v>
      </c>
      <c r="E1" s="5" t="s">
        <v>134</v>
      </c>
      <c r="F1" s="7" t="s">
        <v>3</v>
      </c>
      <c r="G1" s="1" t="s">
        <v>106</v>
      </c>
      <c r="H1" s="1" t="s">
        <v>135</v>
      </c>
      <c r="I1" s="1" t="s">
        <v>9</v>
      </c>
      <c r="J1" s="1"/>
      <c r="K1" s="1"/>
      <c r="L1" s="1"/>
    </row>
    <row r="2" spans="1:12">
      <c r="A2" t="s">
        <v>163</v>
      </c>
      <c r="B2" t="s">
        <v>178</v>
      </c>
      <c r="C2" s="6">
        <v>46063</v>
      </c>
      <c r="D2" s="6">
        <v>46073</v>
      </c>
      <c r="E2" s="6">
        <v>46074</v>
      </c>
      <c r="F2">
        <v>200</v>
      </c>
      <c r="G2" t="s">
        <v>152</v>
      </c>
      <c r="H2" t="s">
        <v>149</v>
      </c>
    </row>
    <row r="3" spans="1:12">
      <c r="A3" t="s">
        <v>136</v>
      </c>
      <c r="B3" t="s">
        <v>56</v>
      </c>
      <c r="C3" s="6">
        <v>46068</v>
      </c>
      <c r="D3" s="6">
        <v>46078</v>
      </c>
      <c r="E3" s="6">
        <v>46078</v>
      </c>
      <c r="F3">
        <v>300</v>
      </c>
      <c r="G3" t="s">
        <v>153</v>
      </c>
      <c r="H3" t="s">
        <v>150</v>
      </c>
    </row>
    <row r="4" spans="1:12">
      <c r="A4" t="s">
        <v>137</v>
      </c>
      <c r="B4" t="s">
        <v>58</v>
      </c>
      <c r="C4" s="6">
        <v>46065</v>
      </c>
      <c r="D4" s="6">
        <v>46075</v>
      </c>
      <c r="E4" s="6">
        <v>46074</v>
      </c>
      <c r="F4">
        <v>50</v>
      </c>
      <c r="G4" t="s">
        <v>153</v>
      </c>
      <c r="H4" t="s">
        <v>151</v>
      </c>
    </row>
    <row r="5" spans="1:12">
      <c r="A5" t="s">
        <v>138</v>
      </c>
      <c r="B5" t="s">
        <v>179</v>
      </c>
      <c r="C5" s="6">
        <v>46067</v>
      </c>
      <c r="D5" s="6">
        <v>46080</v>
      </c>
      <c r="E5"/>
      <c r="F5">
        <v>20</v>
      </c>
      <c r="G5" t="s">
        <v>70</v>
      </c>
      <c r="H5" t="s">
        <v>165</v>
      </c>
    </row>
    <row r="6" spans="1:12">
      <c r="A6" t="s">
        <v>139</v>
      </c>
      <c r="B6" t="s">
        <v>51</v>
      </c>
      <c r="C6" s="6">
        <v>46061</v>
      </c>
      <c r="D6" s="6">
        <v>46071</v>
      </c>
      <c r="E6" s="6">
        <v>46070</v>
      </c>
      <c r="F6">
        <v>10</v>
      </c>
      <c r="G6" t="s">
        <v>153</v>
      </c>
      <c r="H6" t="s">
        <v>166</v>
      </c>
    </row>
    <row r="7" spans="1:12">
      <c r="A7" t="s">
        <v>140</v>
      </c>
      <c r="B7" t="s">
        <v>43</v>
      </c>
      <c r="C7" s="6">
        <v>46063</v>
      </c>
      <c r="D7" s="6">
        <v>46069</v>
      </c>
      <c r="E7" s="6">
        <v>46069</v>
      </c>
      <c r="F7">
        <v>5</v>
      </c>
      <c r="G7" t="s">
        <v>153</v>
      </c>
      <c r="H7" t="s">
        <v>167</v>
      </c>
    </row>
    <row r="8" spans="1:12">
      <c r="A8" t="s">
        <v>141</v>
      </c>
      <c r="B8" t="s">
        <v>179</v>
      </c>
      <c r="C8" s="6">
        <v>46071</v>
      </c>
      <c r="D8" s="6">
        <v>46078</v>
      </c>
      <c r="E8"/>
      <c r="F8">
        <v>8</v>
      </c>
      <c r="G8" t="s">
        <v>70</v>
      </c>
      <c r="H8" t="s">
        <v>168</v>
      </c>
    </row>
    <row r="9" spans="1:12">
      <c r="A9" t="s">
        <v>142</v>
      </c>
      <c r="B9" t="s">
        <v>180</v>
      </c>
      <c r="C9" s="6">
        <v>46064</v>
      </c>
      <c r="D9" s="6">
        <v>46073</v>
      </c>
      <c r="E9" s="6">
        <v>46072</v>
      </c>
      <c r="F9">
        <v>10</v>
      </c>
      <c r="G9" t="s">
        <v>153</v>
      </c>
      <c r="H9" t="s">
        <v>169</v>
      </c>
    </row>
    <row r="10" spans="1:12">
      <c r="A10" t="s">
        <v>143</v>
      </c>
      <c r="B10" t="s">
        <v>45</v>
      </c>
      <c r="C10" s="6">
        <v>46063</v>
      </c>
      <c r="D10" s="6">
        <v>46068</v>
      </c>
      <c r="E10" s="6">
        <v>46068</v>
      </c>
      <c r="F10">
        <v>3</v>
      </c>
      <c r="G10" t="s">
        <v>153</v>
      </c>
      <c r="H10" t="s">
        <v>170</v>
      </c>
    </row>
    <row r="11" spans="1:12">
      <c r="A11" t="s">
        <v>144</v>
      </c>
      <c r="B11" t="s">
        <v>47</v>
      </c>
      <c r="C11" s="6">
        <v>46067</v>
      </c>
      <c r="D11" s="6">
        <v>46081</v>
      </c>
      <c r="E11"/>
      <c r="F11">
        <v>1</v>
      </c>
      <c r="G11" t="s">
        <v>70</v>
      </c>
      <c r="H11" t="s">
        <v>171</v>
      </c>
    </row>
    <row r="12" spans="1:12">
      <c r="A12" t="s">
        <v>145</v>
      </c>
      <c r="B12" t="s">
        <v>49</v>
      </c>
      <c r="C12" s="6">
        <v>46065</v>
      </c>
      <c r="D12" s="6">
        <v>46072</v>
      </c>
      <c r="E12" s="6">
        <v>46072</v>
      </c>
      <c r="F12">
        <v>2</v>
      </c>
      <c r="G12" t="s">
        <v>153</v>
      </c>
      <c r="H12" t="s">
        <v>172</v>
      </c>
    </row>
    <row r="13" spans="1:12">
      <c r="A13" t="s">
        <v>146</v>
      </c>
      <c r="B13" t="s">
        <v>31</v>
      </c>
      <c r="C13" s="6">
        <v>46067</v>
      </c>
      <c r="D13" s="6">
        <v>46077</v>
      </c>
      <c r="E13" s="6">
        <v>46077</v>
      </c>
      <c r="F13">
        <v>50</v>
      </c>
      <c r="G13" t="s">
        <v>153</v>
      </c>
      <c r="H13" t="s">
        <v>173</v>
      </c>
    </row>
    <row r="14" spans="1:12">
      <c r="A14" t="s">
        <v>61</v>
      </c>
      <c r="B14" t="s">
        <v>62</v>
      </c>
      <c r="C14" s="6">
        <v>46054</v>
      </c>
      <c r="D14" s="6">
        <v>46054</v>
      </c>
      <c r="E14" s="6">
        <v>46054</v>
      </c>
      <c r="F14">
        <v>1</v>
      </c>
      <c r="G14" t="s">
        <v>153</v>
      </c>
      <c r="H14" t="s">
        <v>174</v>
      </c>
    </row>
    <row r="15" spans="1:12">
      <c r="A15" t="s">
        <v>147</v>
      </c>
      <c r="B15" t="s">
        <v>66</v>
      </c>
      <c r="C15" s="6">
        <v>46063</v>
      </c>
      <c r="D15" s="6">
        <v>46070</v>
      </c>
      <c r="E15" s="6">
        <v>46070</v>
      </c>
      <c r="F15">
        <v>200</v>
      </c>
      <c r="G15" t="s">
        <v>153</v>
      </c>
      <c r="H15" t="s">
        <v>175</v>
      </c>
    </row>
    <row r="16" spans="1:12">
      <c r="A16" t="s">
        <v>67</v>
      </c>
      <c r="B16" t="s">
        <v>68</v>
      </c>
      <c r="C16" s="6">
        <v>46066</v>
      </c>
      <c r="D16" s="6">
        <v>46079</v>
      </c>
      <c r="E16"/>
      <c r="F16">
        <v>15</v>
      </c>
      <c r="G16" t="s">
        <v>70</v>
      </c>
      <c r="H16" t="s">
        <v>176</v>
      </c>
    </row>
    <row r="17" spans="1:8">
      <c r="A17" t="s">
        <v>148</v>
      </c>
      <c r="B17" t="s">
        <v>60</v>
      </c>
      <c r="C17" s="6">
        <v>46057</v>
      </c>
      <c r="D17" s="6">
        <v>46063</v>
      </c>
      <c r="E17" s="6">
        <v>46062</v>
      </c>
      <c r="F17">
        <v>15</v>
      </c>
      <c r="G17" t="s">
        <v>153</v>
      </c>
      <c r="H17" t="s">
        <v>177</v>
      </c>
    </row>
    <row r="23" spans="1:8">
      <c r="A23" s="9" t="s">
        <v>154</v>
      </c>
      <c r="B23" s="9"/>
      <c r="D23" t="s">
        <v>159</v>
      </c>
    </row>
    <row r="24" spans="1:8">
      <c r="A24" s="9" t="s">
        <v>155</v>
      </c>
      <c r="B24" s="9">
        <f>COUNTA(A2:A100)</f>
        <v>21</v>
      </c>
      <c r="D24" t="s">
        <v>160</v>
      </c>
      <c r="E24" s="8">
        <f>COUNTIF(G2:G100,"Delivered")</f>
        <v>11</v>
      </c>
    </row>
    <row r="25" spans="1:8">
      <c r="A25" s="9" t="s">
        <v>156</v>
      </c>
      <c r="B25" s="9">
        <f>COUNTIF(G2:G100,"Pending")</f>
        <v>4</v>
      </c>
      <c r="D25" t="s">
        <v>110</v>
      </c>
      <c r="E25" s="8">
        <f>COUNTIF(G2:G100,"Pending")</f>
        <v>4</v>
      </c>
    </row>
    <row r="26" spans="1:8">
      <c r="A26" s="9" t="s">
        <v>157</v>
      </c>
      <c r="B26" s="9">
        <f>COUNTIF(G2:G100,"Delivered (Late)")</f>
        <v>1</v>
      </c>
      <c r="D26" t="s">
        <v>157</v>
      </c>
      <c r="E26" s="8">
        <f>COUNTIF(G2:G100,"Delivered (Late)")</f>
        <v>1</v>
      </c>
    </row>
    <row r="27" spans="1:8">
      <c r="A27" s="9" t="s">
        <v>158</v>
      </c>
      <c r="B27" s="10">
        <f>COUNTIF(G2:G100,"Delivered")/COUNTA(A2:A22)</f>
        <v>0.6875</v>
      </c>
    </row>
  </sheetData>
  <conditionalFormatting sqref="A2:H17">
    <cfRule type="expression" dxfId="7" priority="5">
      <formula>AND($D2&lt;TODAY(),$G2="Pending")</formula>
    </cfRule>
  </conditionalFormatting>
  <conditionalFormatting sqref="D2:D17">
    <cfRule type="expression" dxfId="6" priority="4">
      <formula>AND($D2-TODAY()&lt;=3,$D2&gt;=TODAY(),$G2="Pending")</formula>
    </cfRule>
  </conditionalFormatting>
  <conditionalFormatting sqref="B25">
    <cfRule type="iconSet" priority="2">
      <iconSet reverse="1">
        <cfvo type="percent" val="0"/>
        <cfvo type="num" val="2" gte="0"/>
        <cfvo type="num" val="4"/>
      </iconSet>
    </cfRule>
  </conditionalFormatting>
  <conditionalFormatting sqref="B26">
    <cfRule type="iconSet" priority="1">
      <iconSet reverse="1">
        <cfvo type="percent" val="0"/>
        <cfvo type="num" val="1" gte="0"/>
        <cfvo type="num" val="3" gte="0"/>
      </iconSet>
    </cfRule>
  </conditionalFormatting>
  <dataValidations count="2">
    <dataValidation type="list" allowBlank="1" showInputMessage="1" showErrorMessage="1" sqref="G18:G1048576" xr:uid="{69425329-58B2-4B5B-98AB-984AA55318FE}">
      <formula1>"delivered (late),delivered,pending"</formula1>
    </dataValidation>
    <dataValidation type="list" allowBlank="1" showInputMessage="1" showErrorMessage="1" sqref="G2:G17" xr:uid="{C7F0F5A5-5D9C-439D-949F-C65E54A6E4A3}">
      <formula1>"pending,delivered,delivered (late),cancelled"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232C-F293-435E-BD66-A3BF575EB541}">
  <dimension ref="A1:F16"/>
  <sheetViews>
    <sheetView tabSelected="1" workbookViewId="0">
      <selection activeCell="R25" sqref="R25"/>
    </sheetView>
  </sheetViews>
  <sheetFormatPr defaultRowHeight="15"/>
  <cols>
    <col min="1" max="1" width="71.140625" bestFit="1" customWidth="1"/>
    <col min="2" max="2" width="11.140625" bestFit="1" customWidth="1"/>
  </cols>
  <sheetData>
    <row r="1" spans="1:6" ht="24">
      <c r="A1" s="14" t="s">
        <v>181</v>
      </c>
      <c r="B1" s="14"/>
      <c r="C1" s="14"/>
    </row>
    <row r="2" spans="1:6" ht="21">
      <c r="A2" s="15" t="s">
        <v>182</v>
      </c>
      <c r="B2" s="12">
        <f>SUM('Cost and Budget Tracking'!G:G)</f>
        <v>338200</v>
      </c>
    </row>
    <row r="3" spans="1:6">
      <c r="A3" s="16" t="s">
        <v>183</v>
      </c>
      <c r="B3" s="12">
        <f>SUM('Cost and Budget Tracking'!F:F)</f>
        <v>308080</v>
      </c>
    </row>
    <row r="4" spans="1:6">
      <c r="A4" s="9" t="s">
        <v>184</v>
      </c>
      <c r="B4" s="12">
        <f>B2-B3</f>
        <v>30120</v>
      </c>
      <c r="F4" s="2"/>
    </row>
    <row r="5" spans="1:6">
      <c r="A5" s="9" t="s">
        <v>185</v>
      </c>
      <c r="B5" s="10">
        <f>B3/B2</f>
        <v>0.91094027202838557</v>
      </c>
    </row>
    <row r="6" spans="1:6">
      <c r="A6" s="9" t="s">
        <v>186</v>
      </c>
      <c r="B6" s="13">
        <f>COUNTIF('Cost and Budget Tracking'!H:H,"&lt;0")</f>
        <v>0</v>
      </c>
    </row>
    <row r="7" spans="1:6">
      <c r="A7" s="9" t="s">
        <v>187</v>
      </c>
      <c r="B7" s="9">
        <f>COUNTIF('Cost and Budget Tracking'!I:I,"Paid")</f>
        <v>19</v>
      </c>
    </row>
    <row r="11" spans="1:6" ht="18.75">
      <c r="A11" s="18" t="s">
        <v>188</v>
      </c>
      <c r="B11" s="9"/>
    </row>
    <row r="12" spans="1:6">
      <c r="A12" s="9" t="s">
        <v>15</v>
      </c>
      <c r="B12" s="12">
        <f>SUMIF('Cost and Budget Tracking'!A:A,A12,'Cost and Budget Tracking'!F:F)</f>
        <v>88800</v>
      </c>
      <c r="C12" s="11">
        <f>B12/$B$3</f>
        <v>0.28823682160477798</v>
      </c>
    </row>
    <row r="13" spans="1:6">
      <c r="A13" s="9" t="s">
        <v>189</v>
      </c>
      <c r="B13" s="12">
        <f>SUMIF('Cost and Budget Tracking'!A:A,A13,'Cost and Budget Tracking'!F:F)</f>
        <v>30500</v>
      </c>
      <c r="C13" s="11">
        <f t="shared" ref="C13:C16" si="0">B13/$B$3</f>
        <v>9.9000259672812257E-2</v>
      </c>
    </row>
    <row r="14" spans="1:6">
      <c r="A14" s="9" t="s">
        <v>54</v>
      </c>
      <c r="B14" s="12">
        <f>SUMIF('Cost and Budget Tracking'!A:A,A14,'Cost and Budget Tracking'!F:F)</f>
        <v>10500</v>
      </c>
      <c r="C14" s="11">
        <f t="shared" si="0"/>
        <v>3.408205660867307E-2</v>
      </c>
    </row>
    <row r="15" spans="1:6">
      <c r="A15" s="9" t="s">
        <v>190</v>
      </c>
      <c r="B15" s="17">
        <f>SUMIF('Cost and Budget Tracking'!A:A,A15,'Cost and Budget Tracking'!F:F)</f>
        <v>9500</v>
      </c>
      <c r="C15" s="11">
        <f t="shared" si="0"/>
        <v>3.0836146455466111E-2</v>
      </c>
    </row>
    <row r="16" spans="1:6">
      <c r="A16" s="9" t="s">
        <v>191</v>
      </c>
      <c r="B16" s="12">
        <f>SUMIF('Cost and Budget Tracking'!A:A,A16,'Cost and Budget Tracking'!F:F)</f>
        <v>14740</v>
      </c>
      <c r="C16" s="11">
        <f t="shared" si="0"/>
        <v>4.784471565827058E-2</v>
      </c>
    </row>
  </sheetData>
  <mergeCells count="1">
    <mergeCell ref="A1:C1"/>
  </mergeCells>
  <conditionalFormatting sqref="B5">
    <cfRule type="cellIs" dxfId="5" priority="3" operator="greaterThan">
      <formula>0.95</formula>
    </cfRule>
    <cfRule type="cellIs" dxfId="4" priority="4" operator="between">
      <formula>0.8</formula>
      <formula>0.95</formula>
    </cfRule>
    <cfRule type="cellIs" dxfId="3" priority="5" operator="lessThanOrEqual">
      <formula>0.8</formula>
    </cfRule>
  </conditionalFormatting>
  <conditionalFormatting sqref="C12:C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008000"/>
        <color rgb="FFFFEE8C"/>
        <color rgb="FFCC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 and Budget Tracking</vt:lpstr>
      <vt:lpstr>Contractor and Labor Management</vt:lpstr>
      <vt:lpstr>Procurement and Deliveries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Watts</dc:creator>
  <cp:lastModifiedBy>John Watts</cp:lastModifiedBy>
  <dcterms:created xsi:type="dcterms:W3CDTF">2026-02-23T17:08:11Z</dcterms:created>
  <dcterms:modified xsi:type="dcterms:W3CDTF">2026-02-23T21:10:59Z</dcterms:modified>
</cp:coreProperties>
</file>