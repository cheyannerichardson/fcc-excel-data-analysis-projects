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John\Desktop\rhode\freeCodeCampEXCEL\Project5_TrafficInventoryProject\"/>
    </mc:Choice>
  </mc:AlternateContent>
  <xr:revisionPtr revIDLastSave="0" documentId="13_ncr:1_{5DC60A9F-78A7-4C16-9DE4-FF52EB6660F6}" xr6:coauthVersionLast="47" xr6:coauthVersionMax="47" xr10:uidLastSave="{00000000-0000-0000-0000-000000000000}"/>
  <bookViews>
    <workbookView xWindow="4140" yWindow="2010" windowWidth="33240" windowHeight="15885" activeTab="2" xr2:uid="{29FF9098-6961-438A-8CA8-3BF3620D9917}"/>
  </bookViews>
  <sheets>
    <sheet name="Seawall_Data" sheetId="1" r:id="rId1"/>
    <sheet name="Flow_Pivot" sheetId="3" r:id="rId2"/>
    <sheet name="Conflicts_Pivot" sheetId="5" r:id="rId3"/>
  </sheets>
  <definedNames>
    <definedName name="Slicer_Typ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5" l="1"/>
  <c r="B26" i="5"/>
  <c r="B25" i="5"/>
</calcChain>
</file>

<file path=xl/sharedStrings.xml><?xml version="1.0" encoding="utf-8"?>
<sst xmlns="http://schemas.openxmlformats.org/spreadsheetml/2006/main" count="161" uniqueCount="55">
  <si>
    <t>ID</t>
  </si>
  <si>
    <t>Type</t>
  </si>
  <si>
    <t>Location</t>
  </si>
  <si>
    <t>Count</t>
  </si>
  <si>
    <t>Time</t>
  </si>
  <si>
    <t>Direction</t>
  </si>
  <si>
    <t>Status</t>
  </si>
  <si>
    <t>Notes</t>
  </si>
  <si>
    <t>Families returning to car park</t>
  </si>
  <si>
    <t>Active</t>
  </si>
  <si>
    <t>Southbound</t>
  </si>
  <si>
    <t>Continuous flow, little delay</t>
  </si>
  <si>
    <t>Eastbound</t>
  </si>
  <si>
    <t>Midday beach surge</t>
  </si>
  <si>
    <t>Westbound</t>
  </si>
  <si>
    <t>Second Beach</t>
  </si>
  <si>
    <t>Northbound</t>
  </si>
  <si>
    <t>Causeway</t>
  </si>
  <si>
    <t>Group ride formation</t>
  </si>
  <si>
    <t>Tourist groups entering from gate</t>
  </si>
  <si>
    <t>Wheelchair access route</t>
  </si>
  <si>
    <t>E-scooters along seawall</t>
  </si>
  <si>
    <t>Sunset photo crowd starting early</t>
  </si>
  <si>
    <t>Mostly rental e-scooters</t>
  </si>
  <si>
    <t>Mixed commuter &amp; leisure</t>
  </si>
  <si>
    <t>Smooth pavement helps access</t>
  </si>
  <si>
    <t>Near concession and pool</t>
  </si>
  <si>
    <t>High-speed segment</t>
  </si>
  <si>
    <t>Dense flow from parking area</t>
  </si>
  <si>
    <t>E-bikes cruising steady speed</t>
  </si>
  <si>
    <t>Leisure riders stopping at lookout</t>
  </si>
  <si>
    <t>Wheelchairs, assisted walkers</t>
  </si>
  <si>
    <t>Beachgoers, tourists</t>
  </si>
  <si>
    <t>E-scooters in groups</t>
  </si>
  <si>
    <t>Families &amp; joggers</t>
  </si>
  <si>
    <t>Ferguson Pt</t>
  </si>
  <si>
    <t>Pipeline Rd</t>
  </si>
  <si>
    <t>pedestrian</t>
  </si>
  <si>
    <t>cyclist</t>
  </si>
  <si>
    <t>micromobility</t>
  </si>
  <si>
    <t>mobility aid users</t>
  </si>
  <si>
    <t>Conflict</t>
  </si>
  <si>
    <t>Row Labels</t>
  </si>
  <si>
    <t>Grand Total</t>
  </si>
  <si>
    <t>12 PM</t>
  </si>
  <si>
    <t>Column Labels</t>
  </si>
  <si>
    <t>Sum of Count</t>
  </si>
  <si>
    <t>(All)</t>
  </si>
  <si>
    <t>1 PM</t>
  </si>
  <si>
    <t>Total Conflicts</t>
  </si>
  <si>
    <t>Cyclist speeding near pedestrians</t>
  </si>
  <si>
    <t>Pedestrians jaywalking across cycle lane</t>
  </si>
  <si>
    <t>Congestion near trail merge point</t>
  </si>
  <si>
    <t>Rider cut across pedestrian group</t>
  </si>
  <si>
    <t>Scooter weaving through crowd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</si>
</sst>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 fontId="0" fillId="0" borderId="0" xfId="0" applyNumberFormat="1"/>
    <xf numFmtId="16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1">
    <cellStyle name="Normal" xfId="0" builtinId="0"/>
  </cellStyles>
  <dxfs count="5">
    <dxf>
      <fill>
        <patternFill>
          <bgColor rgb="FFFFFF00"/>
        </patternFill>
      </fill>
    </dxf>
    <dxf>
      <fill>
        <patternFill>
          <bgColor rgb="FFC00000"/>
        </patternFill>
      </fill>
    </dxf>
    <dxf>
      <fill>
        <patternFill>
          <bgColor rgb="FFFF0000"/>
        </patternFill>
      </fill>
    </dxf>
    <dxf>
      <numFmt numFmtId="25" formatCode="h:mm"/>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C0000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[StanleySeawallTrafficInventoryProject.xlsx]Conflicts_Pivot!PivotTable2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Conflict Counts by Location and Direction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Conflicts_Pivot!$B$3:$B$4</c:f>
              <c:strCache>
                <c:ptCount val="1"/>
                <c:pt idx="0">
                  <c:v>cyclist</c:v>
                </c:pt>
              </c:strCache>
            </c:strRef>
          </c:tx>
          <c:spPr>
            <a:solidFill>
              <a:schemeClr val="accent1"/>
            </a:solidFill>
            <a:ln>
              <a:noFill/>
            </a:ln>
            <a:effectLst/>
          </c:spPr>
          <c:invertIfNegative val="0"/>
          <c:cat>
            <c:multiLvlStrRef>
              <c:f>Conflicts_Pivot!$A$5:$A$12</c:f>
              <c:multiLvlStrCache>
                <c:ptCount val="4"/>
                <c:lvl>
                  <c:pt idx="0">
                    <c:v>Northbound</c:v>
                  </c:pt>
                  <c:pt idx="1">
                    <c:v>Southbound</c:v>
                  </c:pt>
                  <c:pt idx="2">
                    <c:v>Westbound</c:v>
                  </c:pt>
                  <c:pt idx="3">
                    <c:v>Eastbound</c:v>
                  </c:pt>
                </c:lvl>
                <c:lvl>
                  <c:pt idx="0">
                    <c:v>Causeway</c:v>
                  </c:pt>
                  <c:pt idx="2">
                    <c:v>Pipeline Rd</c:v>
                  </c:pt>
                  <c:pt idx="3">
                    <c:v>Second Beach</c:v>
                  </c:pt>
                </c:lvl>
              </c:multiLvlStrCache>
            </c:multiLvlStrRef>
          </c:cat>
          <c:val>
            <c:numRef>
              <c:f>Conflicts_Pivot!$B$5:$B$12</c:f>
              <c:numCache>
                <c:formatCode>General</c:formatCode>
                <c:ptCount val="4"/>
                <c:pt idx="2">
                  <c:v>112</c:v>
                </c:pt>
                <c:pt idx="3">
                  <c:v>71</c:v>
                </c:pt>
              </c:numCache>
            </c:numRef>
          </c:val>
          <c:extLst>
            <c:ext xmlns:c16="http://schemas.microsoft.com/office/drawing/2014/chart" uri="{C3380CC4-5D6E-409C-BE32-E72D297353CC}">
              <c16:uniqueId val="{00000000-8B01-4CE1-B9D4-21025D8F94ED}"/>
            </c:ext>
          </c:extLst>
        </c:ser>
        <c:ser>
          <c:idx val="1"/>
          <c:order val="1"/>
          <c:tx>
            <c:strRef>
              <c:f>Conflicts_Pivot!$C$3:$C$4</c:f>
              <c:strCache>
                <c:ptCount val="1"/>
                <c:pt idx="0">
                  <c:v>micromobility</c:v>
                </c:pt>
              </c:strCache>
            </c:strRef>
          </c:tx>
          <c:spPr>
            <a:solidFill>
              <a:schemeClr val="accent2"/>
            </a:solidFill>
            <a:ln>
              <a:noFill/>
            </a:ln>
            <a:effectLst/>
          </c:spPr>
          <c:invertIfNegative val="0"/>
          <c:cat>
            <c:multiLvlStrRef>
              <c:f>Conflicts_Pivot!$A$5:$A$12</c:f>
              <c:multiLvlStrCache>
                <c:ptCount val="4"/>
                <c:lvl>
                  <c:pt idx="0">
                    <c:v>Northbound</c:v>
                  </c:pt>
                  <c:pt idx="1">
                    <c:v>Southbound</c:v>
                  </c:pt>
                  <c:pt idx="2">
                    <c:v>Westbound</c:v>
                  </c:pt>
                  <c:pt idx="3">
                    <c:v>Eastbound</c:v>
                  </c:pt>
                </c:lvl>
                <c:lvl>
                  <c:pt idx="0">
                    <c:v>Causeway</c:v>
                  </c:pt>
                  <c:pt idx="2">
                    <c:v>Pipeline Rd</c:v>
                  </c:pt>
                  <c:pt idx="3">
                    <c:v>Second Beach</c:v>
                  </c:pt>
                </c:lvl>
              </c:multiLvlStrCache>
            </c:multiLvlStrRef>
          </c:cat>
          <c:val>
            <c:numRef>
              <c:f>Conflicts_Pivot!$C$5:$C$12</c:f>
              <c:numCache>
                <c:formatCode>General</c:formatCode>
                <c:ptCount val="4"/>
                <c:pt idx="0">
                  <c:v>44</c:v>
                </c:pt>
              </c:numCache>
            </c:numRef>
          </c:val>
          <c:extLst>
            <c:ext xmlns:c16="http://schemas.microsoft.com/office/drawing/2014/chart" uri="{C3380CC4-5D6E-409C-BE32-E72D297353CC}">
              <c16:uniqueId val="{00000001-8B01-4CE1-B9D4-21025D8F94ED}"/>
            </c:ext>
          </c:extLst>
        </c:ser>
        <c:ser>
          <c:idx val="2"/>
          <c:order val="2"/>
          <c:tx>
            <c:strRef>
              <c:f>Conflicts_Pivot!$D$3:$D$4</c:f>
              <c:strCache>
                <c:ptCount val="1"/>
                <c:pt idx="0">
                  <c:v>pedestrian</c:v>
                </c:pt>
              </c:strCache>
            </c:strRef>
          </c:tx>
          <c:spPr>
            <a:solidFill>
              <a:schemeClr val="accent3"/>
            </a:solidFill>
            <a:ln>
              <a:noFill/>
            </a:ln>
            <a:effectLst/>
          </c:spPr>
          <c:invertIfNegative val="0"/>
          <c:cat>
            <c:multiLvlStrRef>
              <c:f>Conflicts_Pivot!$A$5:$A$12</c:f>
              <c:multiLvlStrCache>
                <c:ptCount val="4"/>
                <c:lvl>
                  <c:pt idx="0">
                    <c:v>Northbound</c:v>
                  </c:pt>
                  <c:pt idx="1">
                    <c:v>Southbound</c:v>
                  </c:pt>
                  <c:pt idx="2">
                    <c:v>Westbound</c:v>
                  </c:pt>
                  <c:pt idx="3">
                    <c:v>Eastbound</c:v>
                  </c:pt>
                </c:lvl>
                <c:lvl>
                  <c:pt idx="0">
                    <c:v>Causeway</c:v>
                  </c:pt>
                  <c:pt idx="2">
                    <c:v>Pipeline Rd</c:v>
                  </c:pt>
                  <c:pt idx="3">
                    <c:v>Second Beach</c:v>
                  </c:pt>
                </c:lvl>
              </c:multiLvlStrCache>
            </c:multiLvlStrRef>
          </c:cat>
          <c:val>
            <c:numRef>
              <c:f>Conflicts_Pivot!$D$5:$D$12</c:f>
              <c:numCache>
                <c:formatCode>General</c:formatCode>
                <c:ptCount val="4"/>
                <c:pt idx="0">
                  <c:v>138</c:v>
                </c:pt>
                <c:pt idx="1">
                  <c:v>155</c:v>
                </c:pt>
              </c:numCache>
            </c:numRef>
          </c:val>
          <c:extLst>
            <c:ext xmlns:c16="http://schemas.microsoft.com/office/drawing/2014/chart" uri="{C3380CC4-5D6E-409C-BE32-E72D297353CC}">
              <c16:uniqueId val="{00000002-8B01-4CE1-B9D4-21025D8F94ED}"/>
            </c:ext>
          </c:extLst>
        </c:ser>
        <c:dLbls>
          <c:showLegendKey val="0"/>
          <c:showVal val="0"/>
          <c:showCatName val="0"/>
          <c:showSerName val="0"/>
          <c:showPercent val="0"/>
          <c:showBubbleSize val="0"/>
        </c:dLbls>
        <c:gapWidth val="219"/>
        <c:overlap val="-27"/>
        <c:axId val="1295632735"/>
        <c:axId val="1295629855"/>
      </c:barChart>
      <c:catAx>
        <c:axId val="129563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629855"/>
        <c:crosses val="autoZero"/>
        <c:auto val="1"/>
        <c:lblAlgn val="ctr"/>
        <c:lblOffset val="100"/>
        <c:noMultiLvlLbl val="0"/>
      </c:catAx>
      <c:valAx>
        <c:axId val="129562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63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28575</xdr:colOff>
      <xdr:row>0</xdr:row>
      <xdr:rowOff>0</xdr:rowOff>
    </xdr:from>
    <xdr:to>
      <xdr:col>6</xdr:col>
      <xdr:colOff>390525</xdr:colOff>
      <xdr:row>14</xdr:row>
      <xdr:rowOff>0</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5F584828-D8C1-E83C-CA7B-B7821101E60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3952875"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209548</xdr:colOff>
      <xdr:row>1</xdr:row>
      <xdr:rowOff>47625</xdr:rowOff>
    </xdr:from>
    <xdr:to>
      <xdr:col>17</xdr:col>
      <xdr:colOff>476249</xdr:colOff>
      <xdr:row>25</xdr:row>
      <xdr:rowOff>161925</xdr:rowOff>
    </xdr:to>
    <xdr:graphicFrame macro="">
      <xdr:nvGraphicFramePr>
        <xdr:cNvPr id="2" name="Chart 1">
          <a:extLst>
            <a:ext uri="{FF2B5EF4-FFF2-40B4-BE49-F238E27FC236}">
              <a16:creationId xmlns:a16="http://schemas.microsoft.com/office/drawing/2014/main" id="{5E20FED1-CF3B-B781-2FED-26A8F2181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refreshedDate="46077.549249768519" createdVersion="8" refreshedVersion="8" minRefreshableVersion="3" recordCount="25" xr:uid="{8FFB502E-DC9C-44F0-B28A-F063C040DFC9}">
  <cacheSource type="worksheet">
    <worksheetSource name="TrafficData"/>
  </cacheSource>
  <cacheFields count="9">
    <cacheField name="ID" numFmtId="0">
      <sharedItems containsSemiMixedTypes="0" containsString="0" containsNumber="1" containsInteger="1" minValue="1" maxValue="25"/>
    </cacheField>
    <cacheField name="Type" numFmtId="0">
      <sharedItems count="4">
        <s v="pedestrian"/>
        <s v="cyclist"/>
        <s v="micromobility"/>
        <s v="mobility aid users"/>
      </sharedItems>
    </cacheField>
    <cacheField name="Location" numFmtId="0">
      <sharedItems count="4">
        <s v="Pipeline Rd"/>
        <s v="Causeway"/>
        <s v="Second Beach"/>
        <s v="Ferguson Pt"/>
      </sharedItems>
    </cacheField>
    <cacheField name="Count" numFmtId="0">
      <sharedItems containsSemiMixedTypes="0" containsString="0" containsNumber="1" containsInteger="1" minValue="9" maxValue="225"/>
    </cacheField>
    <cacheField name="Time" numFmtId="20">
      <sharedItems containsSemiMixedTypes="0" containsNonDate="0" containsDate="1" containsString="0" minDate="1899-12-30T01:00:00" maxDate="1899-12-30T13:40:00" count="30">
        <d v="1899-12-30T12:00:00"/>
        <d v="1899-12-30T12:05:00"/>
        <d v="1899-12-30T12:10:00"/>
        <d v="1899-12-30T12:15:00"/>
        <d v="1899-12-30T12:20:00"/>
        <d v="1899-12-30T12:25:00"/>
        <d v="1899-12-30T12:30:00"/>
        <d v="1899-12-30T12:35:00"/>
        <d v="1899-12-30T12:40:00"/>
        <d v="1899-12-30T12:45:00"/>
        <d v="1899-12-30T12:50:00"/>
        <d v="1899-12-30T12:55:00"/>
        <d v="1899-12-30T13:00:00"/>
        <d v="1899-12-30T13:05:00"/>
        <d v="1899-12-30T13:10:00"/>
        <d v="1899-12-30T13:15:00"/>
        <d v="1899-12-30T13:20:00"/>
        <d v="1899-12-30T13:25:00"/>
        <d v="1899-12-30T13:30:00"/>
        <d v="1899-12-30T13:35:00"/>
        <d v="1899-12-30T13:40:00"/>
        <d v="1899-12-30T01:00:00" u="1"/>
        <d v="1899-12-30T01:05:00" u="1"/>
        <d v="1899-12-30T01:10:00" u="1"/>
        <d v="1899-12-30T01:15:00" u="1"/>
        <d v="1899-12-30T01:20:00" u="1"/>
        <d v="1899-12-30T01:25:00" u="1"/>
        <d v="1899-12-30T01:30:00" u="1"/>
        <d v="1899-12-30T01:35:00" u="1"/>
        <d v="1899-12-30T01:45:00" u="1"/>
      </sharedItems>
      <fieldGroup par="8"/>
    </cacheField>
    <cacheField name="Direction" numFmtId="0">
      <sharedItems count="4">
        <s v="Eastbound"/>
        <s v="Westbound"/>
        <s v="Northbound"/>
        <s v="Southbound"/>
      </sharedItems>
    </cacheField>
    <cacheField name="Status" numFmtId="0">
      <sharedItems count="2">
        <s v="Active"/>
        <s v="Conflict"/>
      </sharedItems>
    </cacheField>
    <cacheField name="Notes" numFmtId="0">
      <sharedItems/>
    </cacheField>
    <cacheField name="Hours (Time)" numFmtId="0" databaseField="0">
      <fieldGroup base="4">
        <rangePr groupBy="hours" startDate="1899-12-30T12:00:00" endDate="1899-12-30T13:40: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897807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x v="0"/>
    <x v="0"/>
    <n v="145"/>
    <x v="0"/>
    <x v="0"/>
    <x v="0"/>
    <s v="Families &amp; joggers"/>
  </r>
  <r>
    <n v="2"/>
    <x v="1"/>
    <x v="0"/>
    <n v="112"/>
    <x v="0"/>
    <x v="1"/>
    <x v="1"/>
    <s v="Cyclist speeding near pedestrians"/>
  </r>
  <r>
    <n v="3"/>
    <x v="2"/>
    <x v="1"/>
    <n v="28"/>
    <x v="1"/>
    <x v="2"/>
    <x v="0"/>
    <s v="E-scooters in groups"/>
  </r>
  <r>
    <n v="4"/>
    <x v="0"/>
    <x v="2"/>
    <n v="189"/>
    <x v="2"/>
    <x v="0"/>
    <x v="0"/>
    <s v="Beachgoers, tourists"/>
  </r>
  <r>
    <n v="5"/>
    <x v="3"/>
    <x v="2"/>
    <n v="12"/>
    <x v="2"/>
    <x v="1"/>
    <x v="0"/>
    <s v="Wheelchairs, assisted walkers"/>
  </r>
  <r>
    <n v="6"/>
    <x v="1"/>
    <x v="3"/>
    <n v="97"/>
    <x v="3"/>
    <x v="2"/>
    <x v="0"/>
    <s v="Leisure riders stopping at lookout"/>
  </r>
  <r>
    <n v="7"/>
    <x v="0"/>
    <x v="1"/>
    <n v="155"/>
    <x v="3"/>
    <x v="3"/>
    <x v="1"/>
    <s v="Pedestrians jaywalking across cycle lane"/>
  </r>
  <r>
    <n v="8"/>
    <x v="2"/>
    <x v="0"/>
    <n v="35"/>
    <x v="4"/>
    <x v="0"/>
    <x v="0"/>
    <s v="E-bikes cruising steady speed"/>
  </r>
  <r>
    <n v="9"/>
    <x v="2"/>
    <x v="1"/>
    <n v="121"/>
    <x v="5"/>
    <x v="3"/>
    <x v="0"/>
    <s v="Dense flow from parking area"/>
  </r>
  <r>
    <n v="10"/>
    <x v="1"/>
    <x v="1"/>
    <n v="84"/>
    <x v="6"/>
    <x v="2"/>
    <x v="0"/>
    <s v="High-speed segment"/>
  </r>
  <r>
    <n v="11"/>
    <x v="0"/>
    <x v="2"/>
    <n v="210"/>
    <x v="6"/>
    <x v="1"/>
    <x v="0"/>
    <s v="Near concession and pool"/>
  </r>
  <r>
    <n v="12"/>
    <x v="3"/>
    <x v="0"/>
    <n v="9"/>
    <x v="7"/>
    <x v="0"/>
    <x v="0"/>
    <s v="Smooth pavement helps access"/>
  </r>
  <r>
    <n v="13"/>
    <x v="1"/>
    <x v="0"/>
    <n v="128"/>
    <x v="8"/>
    <x v="1"/>
    <x v="0"/>
    <s v="Mixed commuter &amp; leisure"/>
  </r>
  <r>
    <n v="14"/>
    <x v="2"/>
    <x v="3"/>
    <n v="22"/>
    <x v="9"/>
    <x v="3"/>
    <x v="0"/>
    <s v="Mostly rental e-scooters"/>
  </r>
  <r>
    <n v="15"/>
    <x v="0"/>
    <x v="1"/>
    <n v="138"/>
    <x v="10"/>
    <x v="2"/>
    <x v="1"/>
    <s v="Congestion near trail merge point"/>
  </r>
  <r>
    <n v="16"/>
    <x v="1"/>
    <x v="2"/>
    <n v="71"/>
    <x v="11"/>
    <x v="0"/>
    <x v="1"/>
    <s v="Rider cut across pedestrian group"/>
  </r>
  <r>
    <n v="17"/>
    <x v="0"/>
    <x v="3"/>
    <n v="176"/>
    <x v="12"/>
    <x v="1"/>
    <x v="0"/>
    <s v="Sunset photo crowd starting early"/>
  </r>
  <r>
    <n v="18"/>
    <x v="2"/>
    <x v="2"/>
    <n v="31"/>
    <x v="13"/>
    <x v="0"/>
    <x v="0"/>
    <s v="E-scooters along seawall"/>
  </r>
  <r>
    <n v="19"/>
    <x v="3"/>
    <x v="1"/>
    <n v="15"/>
    <x v="14"/>
    <x v="3"/>
    <x v="0"/>
    <s v="Wheelchair access route"/>
  </r>
  <r>
    <n v="20"/>
    <x v="0"/>
    <x v="0"/>
    <n v="158"/>
    <x v="15"/>
    <x v="0"/>
    <x v="0"/>
    <s v="Tourist groups entering from gate"/>
  </r>
  <r>
    <n v="21"/>
    <x v="1"/>
    <x v="3"/>
    <n v="106"/>
    <x v="16"/>
    <x v="2"/>
    <x v="0"/>
    <s v="Group ride formation"/>
  </r>
  <r>
    <n v="22"/>
    <x v="2"/>
    <x v="1"/>
    <n v="44"/>
    <x v="17"/>
    <x v="2"/>
    <x v="1"/>
    <s v="Scooter weaving through crowd"/>
  </r>
  <r>
    <n v="23"/>
    <x v="0"/>
    <x v="2"/>
    <n v="225"/>
    <x v="18"/>
    <x v="1"/>
    <x v="0"/>
    <s v="Midday beach surge"/>
  </r>
  <r>
    <n v="24"/>
    <x v="1"/>
    <x v="0"/>
    <n v="134"/>
    <x v="19"/>
    <x v="0"/>
    <x v="0"/>
    <s v="Continuous flow, little delay"/>
  </r>
  <r>
    <n v="25"/>
    <x v="0"/>
    <x v="3"/>
    <n v="168"/>
    <x v="20"/>
    <x v="3"/>
    <x v="0"/>
    <s v="Families returning to car par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8445AF-F516-41B6-B9CC-9F53458D1E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1" firstDataRow="2" firstDataCol="1" rowPageCount="1" colPageCount="1"/>
  <pivotFields count="9">
    <pivotField showAll="0"/>
    <pivotField axis="axisCol" showAll="0">
      <items count="5">
        <item x="1"/>
        <item h="1" x="2"/>
        <item h="1" x="3"/>
        <item h="1" x="0"/>
        <item t="default"/>
      </items>
    </pivotField>
    <pivotField axis="axisPage" showAll="0">
      <items count="5">
        <item x="1"/>
        <item x="3"/>
        <item x="0"/>
        <item x="2"/>
        <item t="default"/>
      </items>
    </pivotField>
    <pivotField dataField="1" showAll="0"/>
    <pivotField numFmtId="20" showAll="0">
      <items count="31">
        <item m="1" x="21"/>
        <item m="1" x="22"/>
        <item m="1" x="23"/>
        <item m="1" x="24"/>
        <item m="1" x="25"/>
        <item m="1" x="26"/>
        <item m="1" x="27"/>
        <item m="1" x="28"/>
        <item m="1" x="29"/>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3">
    <i>
      <x v="13"/>
    </i>
    <i>
      <x v="14"/>
    </i>
    <i t="grand">
      <x/>
    </i>
  </rowItems>
  <colFields count="1">
    <field x="1"/>
  </colFields>
  <colItems count="2">
    <i>
      <x/>
    </i>
    <i t="grand">
      <x/>
    </i>
  </colItems>
  <pageFields count="1">
    <pageField fld="2" hier="-1"/>
  </pageFields>
  <dataFields count="1">
    <dataField name="Sum of C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678933-B61E-4748-BD88-9F5CFD11A8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2" firstHeaderRow="1" firstDataRow="2" firstDataCol="1" rowPageCount="1" colPageCount="1"/>
  <pivotFields count="9">
    <pivotField showAll="0"/>
    <pivotField axis="axisCol" showAll="0">
      <items count="5">
        <item x="1"/>
        <item x="2"/>
        <item x="3"/>
        <item x="0"/>
        <item t="default"/>
      </items>
    </pivotField>
    <pivotField axis="axisRow" showAll="0">
      <items count="5">
        <item x="1"/>
        <item x="3"/>
        <item x="0"/>
        <item x="2"/>
        <item t="default"/>
      </items>
    </pivotField>
    <pivotField dataField="1" showAll="0"/>
    <pivotField numFmtId="20" showAll="0">
      <items count="31">
        <item m="1" x="21"/>
        <item m="1" x="22"/>
        <item m="1" x="23"/>
        <item m="1" x="24"/>
        <item m="1" x="25"/>
        <item m="1" x="26"/>
        <item m="1" x="27"/>
        <item m="1" x="28"/>
        <item m="1" x="29"/>
        <item x="0"/>
        <item x="1"/>
        <item x="2"/>
        <item x="3"/>
        <item x="4"/>
        <item x="5"/>
        <item x="6"/>
        <item x="7"/>
        <item x="8"/>
        <item x="9"/>
        <item x="10"/>
        <item x="11"/>
        <item x="12"/>
        <item x="13"/>
        <item x="14"/>
        <item x="15"/>
        <item x="16"/>
        <item x="17"/>
        <item x="18"/>
        <item x="19"/>
        <item x="20"/>
        <item t="default"/>
      </items>
    </pivotField>
    <pivotField axis="axisRow" showAll="0">
      <items count="5">
        <item x="0"/>
        <item x="2"/>
        <item x="3"/>
        <item x="1"/>
        <item t="default"/>
      </items>
    </pivotField>
    <pivotField axis="axisPage" showAll="0">
      <items count="3">
        <item x="0"/>
        <item x="1"/>
        <item t="default"/>
      </items>
    </pivotField>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2">
    <field x="2"/>
    <field x="5"/>
  </rowFields>
  <rowItems count="8">
    <i>
      <x/>
    </i>
    <i r="1">
      <x v="1"/>
    </i>
    <i r="1">
      <x v="2"/>
    </i>
    <i>
      <x v="2"/>
    </i>
    <i r="1">
      <x v="3"/>
    </i>
    <i>
      <x v="3"/>
    </i>
    <i r="1">
      <x/>
    </i>
    <i t="grand">
      <x/>
    </i>
  </rowItems>
  <colFields count="1">
    <field x="1"/>
  </colFields>
  <colItems count="4">
    <i>
      <x/>
    </i>
    <i>
      <x v="1"/>
    </i>
    <i>
      <x v="3"/>
    </i>
    <i t="grand">
      <x/>
    </i>
  </colItems>
  <pageFields count="1">
    <pageField fld="6" item="1" hier="-1"/>
  </pageFields>
  <dataFields count="1">
    <dataField name="Sum of Count" fld="3"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6A571D12-AB62-409B-8341-E17F680F9B01}" sourceName="Type">
  <pivotTables>
    <pivotTable tabId="3" name="PivotTable1"/>
  </pivotTables>
  <data>
    <tabular pivotCacheId="897807544">
      <items count="4">
        <i x="1" s="1"/>
        <i x="2"/>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FB670098-2225-4F89-9AD5-E75EECADB765}" cache="Slicer_Type" caption="Typ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900BB5-E010-4F7C-8725-9AA67ACC9ED3}" name="TrafficData" displayName="TrafficData" ref="A1:H26" totalsRowShown="0" headerRowDxfId="4">
  <autoFilter ref="A1:H26" xr:uid="{40900BB5-E010-4F7C-8725-9AA67ACC9ED3}"/>
  <tableColumns count="8">
    <tableColumn id="1" xr3:uid="{FC8AA638-42D6-4860-AACD-6ED7C5005E20}" name="ID"/>
    <tableColumn id="2" xr3:uid="{E7E86CB9-D55D-436A-BA37-F535EB80D9E2}" name="Type"/>
    <tableColumn id="3" xr3:uid="{5282643B-3AEA-40BB-AFB0-DA67FCBFC72D}" name="Location"/>
    <tableColumn id="4" xr3:uid="{DB91AFBE-C87B-4424-95C8-8E948C5CB0CC}" name="Count"/>
    <tableColumn id="5" xr3:uid="{DCC14E76-30E0-42FC-94B1-423B8D738E0E}" name="Time" dataDxfId="3"/>
    <tableColumn id="6" xr3:uid="{5D14E0DD-1D83-4047-88C1-E2414AF42850}" name="Direction"/>
    <tableColumn id="7" xr3:uid="{8C2460E5-D136-472F-838A-450BF0C12C35}" name="Status"/>
    <tableColumn id="8" xr3:uid="{86FEC53C-F604-4C31-9334-64EF9B05760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EC8F8-FFD6-4FC1-ACCE-B7E2C276B1FB}">
  <dimension ref="A1:H26"/>
  <sheetViews>
    <sheetView workbookViewId="0">
      <selection activeCell="N29" sqref="N29"/>
    </sheetView>
  </sheetViews>
  <sheetFormatPr defaultRowHeight="15" x14ac:dyDescent="0.25"/>
  <cols>
    <col min="1" max="1" width="5.28515625" bestFit="1" customWidth="1"/>
    <col min="2" max="2" width="16.85546875" bestFit="1" customWidth="1"/>
    <col min="3" max="3" width="13.42578125" bestFit="1" customWidth="1"/>
    <col min="4" max="4" width="8.85546875" style="2" bestFit="1" customWidth="1"/>
    <col min="5" max="5" width="7.7109375" style="3" bestFit="1" customWidth="1"/>
    <col min="6" max="6" width="11.7109375" bestFit="1" customWidth="1"/>
    <col min="7" max="7" width="9" bestFit="1" customWidth="1"/>
    <col min="8" max="8" width="37.7109375" bestFit="1" customWidth="1"/>
  </cols>
  <sheetData>
    <row r="1" spans="1:8" x14ac:dyDescent="0.25">
      <c r="A1" s="1" t="s">
        <v>0</v>
      </c>
      <c r="B1" s="1" t="s">
        <v>1</v>
      </c>
      <c r="C1" s="1" t="s">
        <v>2</v>
      </c>
      <c r="D1" s="1" t="s">
        <v>3</v>
      </c>
      <c r="E1" s="1" t="s">
        <v>4</v>
      </c>
      <c r="F1" s="1" t="s">
        <v>5</v>
      </c>
      <c r="G1" s="1" t="s">
        <v>6</v>
      </c>
      <c r="H1" s="1" t="s">
        <v>7</v>
      </c>
    </row>
    <row r="2" spans="1:8" x14ac:dyDescent="0.25">
      <c r="A2">
        <v>1</v>
      </c>
      <c r="B2" t="s">
        <v>37</v>
      </c>
      <c r="C2" t="s">
        <v>36</v>
      </c>
      <c r="D2">
        <v>145</v>
      </c>
      <c r="E2" s="4">
        <v>0.5</v>
      </c>
      <c r="F2" t="s">
        <v>12</v>
      </c>
      <c r="G2" t="s">
        <v>9</v>
      </c>
      <c r="H2" t="s">
        <v>34</v>
      </c>
    </row>
    <row r="3" spans="1:8" x14ac:dyDescent="0.25">
      <c r="A3">
        <v>2</v>
      </c>
      <c r="B3" t="s">
        <v>38</v>
      </c>
      <c r="C3" t="s">
        <v>36</v>
      </c>
      <c r="D3">
        <v>112</v>
      </c>
      <c r="E3" s="4">
        <v>0.5</v>
      </c>
      <c r="F3" t="s">
        <v>14</v>
      </c>
      <c r="G3" t="s">
        <v>41</v>
      </c>
      <c r="H3" t="s">
        <v>50</v>
      </c>
    </row>
    <row r="4" spans="1:8" x14ac:dyDescent="0.25">
      <c r="A4">
        <v>3</v>
      </c>
      <c r="B4" t="s">
        <v>39</v>
      </c>
      <c r="C4" t="s">
        <v>17</v>
      </c>
      <c r="D4">
        <v>28</v>
      </c>
      <c r="E4" s="4">
        <v>0.50347222222222221</v>
      </c>
      <c r="F4" t="s">
        <v>16</v>
      </c>
      <c r="G4" t="s">
        <v>9</v>
      </c>
      <c r="H4" t="s">
        <v>33</v>
      </c>
    </row>
    <row r="5" spans="1:8" x14ac:dyDescent="0.25">
      <c r="A5">
        <v>4</v>
      </c>
      <c r="B5" t="s">
        <v>37</v>
      </c>
      <c r="C5" t="s">
        <v>15</v>
      </c>
      <c r="D5">
        <v>189</v>
      </c>
      <c r="E5" s="4">
        <v>0.50694444444444442</v>
      </c>
      <c r="F5" t="s">
        <v>12</v>
      </c>
      <c r="G5" t="s">
        <v>9</v>
      </c>
      <c r="H5" t="s">
        <v>32</v>
      </c>
    </row>
    <row r="6" spans="1:8" x14ac:dyDescent="0.25">
      <c r="A6">
        <v>5</v>
      </c>
      <c r="B6" t="s">
        <v>40</v>
      </c>
      <c r="C6" t="s">
        <v>15</v>
      </c>
      <c r="D6">
        <v>12</v>
      </c>
      <c r="E6" s="4">
        <v>0.50694444444444442</v>
      </c>
      <c r="F6" t="s">
        <v>14</v>
      </c>
      <c r="G6" t="s">
        <v>9</v>
      </c>
      <c r="H6" t="s">
        <v>31</v>
      </c>
    </row>
    <row r="7" spans="1:8" x14ac:dyDescent="0.25">
      <c r="A7">
        <v>6</v>
      </c>
      <c r="B7" t="s">
        <v>38</v>
      </c>
      <c r="C7" t="s">
        <v>35</v>
      </c>
      <c r="D7">
        <v>97</v>
      </c>
      <c r="E7" s="4">
        <v>0.51041666666666663</v>
      </c>
      <c r="F7" t="s">
        <v>16</v>
      </c>
      <c r="G7" t="s">
        <v>9</v>
      </c>
      <c r="H7" t="s">
        <v>30</v>
      </c>
    </row>
    <row r="8" spans="1:8" x14ac:dyDescent="0.25">
      <c r="A8">
        <v>7</v>
      </c>
      <c r="B8" t="s">
        <v>37</v>
      </c>
      <c r="C8" t="s">
        <v>17</v>
      </c>
      <c r="D8">
        <v>155</v>
      </c>
      <c r="E8" s="4">
        <v>0.51041666666666663</v>
      </c>
      <c r="F8" t="s">
        <v>10</v>
      </c>
      <c r="G8" t="s">
        <v>41</v>
      </c>
      <c r="H8" t="s">
        <v>51</v>
      </c>
    </row>
    <row r="9" spans="1:8" x14ac:dyDescent="0.25">
      <c r="A9">
        <v>8</v>
      </c>
      <c r="B9" t="s">
        <v>39</v>
      </c>
      <c r="C9" t="s">
        <v>36</v>
      </c>
      <c r="D9">
        <v>35</v>
      </c>
      <c r="E9" s="4">
        <v>0.51388888888888884</v>
      </c>
      <c r="F9" t="s">
        <v>12</v>
      </c>
      <c r="G9" t="s">
        <v>9</v>
      </c>
      <c r="H9" t="s">
        <v>29</v>
      </c>
    </row>
    <row r="10" spans="1:8" x14ac:dyDescent="0.25">
      <c r="A10">
        <v>9</v>
      </c>
      <c r="B10" t="s">
        <v>39</v>
      </c>
      <c r="C10" t="s">
        <v>17</v>
      </c>
      <c r="D10">
        <v>121</v>
      </c>
      <c r="E10" s="4">
        <v>0.51736111111111116</v>
      </c>
      <c r="F10" t="s">
        <v>10</v>
      </c>
      <c r="G10" t="s">
        <v>9</v>
      </c>
      <c r="H10" t="s">
        <v>28</v>
      </c>
    </row>
    <row r="11" spans="1:8" x14ac:dyDescent="0.25">
      <c r="A11">
        <v>10</v>
      </c>
      <c r="B11" t="s">
        <v>38</v>
      </c>
      <c r="C11" t="s">
        <v>17</v>
      </c>
      <c r="D11">
        <v>84</v>
      </c>
      <c r="E11" s="4">
        <v>0.52083333333333337</v>
      </c>
      <c r="F11" t="s">
        <v>16</v>
      </c>
      <c r="G11" t="s">
        <v>9</v>
      </c>
      <c r="H11" t="s">
        <v>27</v>
      </c>
    </row>
    <row r="12" spans="1:8" x14ac:dyDescent="0.25">
      <c r="A12">
        <v>11</v>
      </c>
      <c r="B12" t="s">
        <v>37</v>
      </c>
      <c r="C12" t="s">
        <v>15</v>
      </c>
      <c r="D12">
        <v>210</v>
      </c>
      <c r="E12" s="4">
        <v>0.52083333333333337</v>
      </c>
      <c r="F12" t="s">
        <v>14</v>
      </c>
      <c r="G12" t="s">
        <v>9</v>
      </c>
      <c r="H12" t="s">
        <v>26</v>
      </c>
    </row>
    <row r="13" spans="1:8" x14ac:dyDescent="0.25">
      <c r="A13">
        <v>12</v>
      </c>
      <c r="B13" t="s">
        <v>40</v>
      </c>
      <c r="C13" t="s">
        <v>36</v>
      </c>
      <c r="D13">
        <v>9</v>
      </c>
      <c r="E13" s="4">
        <v>0.52430555555555558</v>
      </c>
      <c r="F13" t="s">
        <v>12</v>
      </c>
      <c r="G13" t="s">
        <v>9</v>
      </c>
      <c r="H13" t="s">
        <v>25</v>
      </c>
    </row>
    <row r="14" spans="1:8" x14ac:dyDescent="0.25">
      <c r="A14">
        <v>13</v>
      </c>
      <c r="B14" t="s">
        <v>38</v>
      </c>
      <c r="C14" t="s">
        <v>36</v>
      </c>
      <c r="D14">
        <v>128</v>
      </c>
      <c r="E14" s="4">
        <v>0.52777777777777779</v>
      </c>
      <c r="F14" t="s">
        <v>14</v>
      </c>
      <c r="G14" t="s">
        <v>9</v>
      </c>
      <c r="H14" t="s">
        <v>24</v>
      </c>
    </row>
    <row r="15" spans="1:8" x14ac:dyDescent="0.25">
      <c r="A15">
        <v>14</v>
      </c>
      <c r="B15" t="s">
        <v>39</v>
      </c>
      <c r="C15" t="s">
        <v>35</v>
      </c>
      <c r="D15">
        <v>22</v>
      </c>
      <c r="E15" s="4">
        <v>0.53125</v>
      </c>
      <c r="F15" t="s">
        <v>10</v>
      </c>
      <c r="G15" t="s">
        <v>9</v>
      </c>
      <c r="H15" t="s">
        <v>23</v>
      </c>
    </row>
    <row r="16" spans="1:8" x14ac:dyDescent="0.25">
      <c r="A16">
        <v>15</v>
      </c>
      <c r="B16" t="s">
        <v>37</v>
      </c>
      <c r="C16" t="s">
        <v>17</v>
      </c>
      <c r="D16">
        <v>138</v>
      </c>
      <c r="E16" s="4">
        <v>0.53472222222222221</v>
      </c>
      <c r="F16" t="s">
        <v>16</v>
      </c>
      <c r="G16" t="s">
        <v>41</v>
      </c>
      <c r="H16" t="s">
        <v>52</v>
      </c>
    </row>
    <row r="17" spans="1:8" x14ac:dyDescent="0.25">
      <c r="A17">
        <v>16</v>
      </c>
      <c r="B17" t="s">
        <v>38</v>
      </c>
      <c r="C17" t="s">
        <v>15</v>
      </c>
      <c r="D17">
        <v>71</v>
      </c>
      <c r="E17" s="4">
        <v>0.53819444444444442</v>
      </c>
      <c r="F17" t="s">
        <v>12</v>
      </c>
      <c r="G17" t="s">
        <v>41</v>
      </c>
      <c r="H17" t="s">
        <v>53</v>
      </c>
    </row>
    <row r="18" spans="1:8" x14ac:dyDescent="0.25">
      <c r="A18">
        <v>17</v>
      </c>
      <c r="B18" t="s">
        <v>37</v>
      </c>
      <c r="C18" t="s">
        <v>35</v>
      </c>
      <c r="D18">
        <v>176</v>
      </c>
      <c r="E18" s="4">
        <v>0.54166666666666663</v>
      </c>
      <c r="F18" t="s">
        <v>14</v>
      </c>
      <c r="G18" t="s">
        <v>9</v>
      </c>
      <c r="H18" t="s">
        <v>22</v>
      </c>
    </row>
    <row r="19" spans="1:8" x14ac:dyDescent="0.25">
      <c r="A19">
        <v>18</v>
      </c>
      <c r="B19" t="s">
        <v>39</v>
      </c>
      <c r="C19" t="s">
        <v>15</v>
      </c>
      <c r="D19">
        <v>31</v>
      </c>
      <c r="E19" s="4">
        <v>0.54513888888888884</v>
      </c>
      <c r="F19" t="s">
        <v>12</v>
      </c>
      <c r="G19" t="s">
        <v>9</v>
      </c>
      <c r="H19" t="s">
        <v>21</v>
      </c>
    </row>
    <row r="20" spans="1:8" x14ac:dyDescent="0.25">
      <c r="A20">
        <v>19</v>
      </c>
      <c r="B20" t="s">
        <v>40</v>
      </c>
      <c r="C20" t="s">
        <v>17</v>
      </c>
      <c r="D20">
        <v>15</v>
      </c>
      <c r="E20" s="4">
        <v>0.54861111111111116</v>
      </c>
      <c r="F20" t="s">
        <v>10</v>
      </c>
      <c r="G20" t="s">
        <v>9</v>
      </c>
      <c r="H20" t="s">
        <v>20</v>
      </c>
    </row>
    <row r="21" spans="1:8" x14ac:dyDescent="0.25">
      <c r="A21">
        <v>20</v>
      </c>
      <c r="B21" t="s">
        <v>37</v>
      </c>
      <c r="C21" t="s">
        <v>36</v>
      </c>
      <c r="D21">
        <v>158</v>
      </c>
      <c r="E21" s="4">
        <v>0.55208333333333337</v>
      </c>
      <c r="F21" t="s">
        <v>12</v>
      </c>
      <c r="G21" t="s">
        <v>9</v>
      </c>
      <c r="H21" t="s">
        <v>19</v>
      </c>
    </row>
    <row r="22" spans="1:8" x14ac:dyDescent="0.25">
      <c r="A22">
        <v>21</v>
      </c>
      <c r="B22" t="s">
        <v>38</v>
      </c>
      <c r="C22" t="s">
        <v>35</v>
      </c>
      <c r="D22">
        <v>106</v>
      </c>
      <c r="E22" s="4">
        <v>0.55555555555555558</v>
      </c>
      <c r="F22" t="s">
        <v>16</v>
      </c>
      <c r="G22" t="s">
        <v>9</v>
      </c>
      <c r="H22" t="s">
        <v>18</v>
      </c>
    </row>
    <row r="23" spans="1:8" x14ac:dyDescent="0.25">
      <c r="A23">
        <v>22</v>
      </c>
      <c r="B23" t="s">
        <v>39</v>
      </c>
      <c r="C23" t="s">
        <v>17</v>
      </c>
      <c r="D23">
        <v>44</v>
      </c>
      <c r="E23" s="4">
        <v>0.55902777777777779</v>
      </c>
      <c r="F23" t="s">
        <v>16</v>
      </c>
      <c r="G23" t="s">
        <v>41</v>
      </c>
      <c r="H23" t="s">
        <v>54</v>
      </c>
    </row>
    <row r="24" spans="1:8" x14ac:dyDescent="0.25">
      <c r="A24">
        <v>23</v>
      </c>
      <c r="B24" t="s">
        <v>37</v>
      </c>
      <c r="C24" t="s">
        <v>15</v>
      </c>
      <c r="D24">
        <v>225</v>
      </c>
      <c r="E24" s="4">
        <v>0.5625</v>
      </c>
      <c r="F24" t="s">
        <v>14</v>
      </c>
      <c r="G24" t="s">
        <v>9</v>
      </c>
      <c r="H24" t="s">
        <v>13</v>
      </c>
    </row>
    <row r="25" spans="1:8" x14ac:dyDescent="0.25">
      <c r="A25">
        <v>24</v>
      </c>
      <c r="B25" t="s">
        <v>38</v>
      </c>
      <c r="C25" t="s">
        <v>36</v>
      </c>
      <c r="D25">
        <v>134</v>
      </c>
      <c r="E25" s="4">
        <v>0.56597222222222221</v>
      </c>
      <c r="F25" t="s">
        <v>12</v>
      </c>
      <c r="G25" t="s">
        <v>9</v>
      </c>
      <c r="H25" t="s">
        <v>11</v>
      </c>
    </row>
    <row r="26" spans="1:8" x14ac:dyDescent="0.25">
      <c r="A26">
        <v>25</v>
      </c>
      <c r="B26" t="s">
        <v>37</v>
      </c>
      <c r="C26" t="s">
        <v>35</v>
      </c>
      <c r="D26">
        <v>168</v>
      </c>
      <c r="E26" s="4">
        <v>0.56944444444444442</v>
      </c>
      <c r="F26" t="s">
        <v>10</v>
      </c>
      <c r="G26" t="s">
        <v>9</v>
      </c>
      <c r="H26" t="s">
        <v>8</v>
      </c>
    </row>
  </sheetData>
  <conditionalFormatting sqref="D2:D26">
    <cfRule type="cellIs" dxfId="2" priority="1" operator="lessThan">
      <formula>3</formula>
    </cfRule>
    <cfRule type="cellIs" dxfId="1" priority="5" operator="lessThan">
      <formula>3</formula>
    </cfRule>
  </conditionalFormatting>
  <conditionalFormatting sqref="G2:G26">
    <cfRule type="expression" dxfId="0" priority="2">
      <formula>$G2="Conflict"</formula>
    </cfRule>
  </conditionalFormatting>
  <dataValidations count="2">
    <dataValidation type="list" allowBlank="1" showInputMessage="1" showErrorMessage="1" sqref="B2:B1048576" xr:uid="{00856EC2-60D3-4B42-94F0-DD7EF1691CAB}">
      <formula1>"micromobility,pedestrian,cyclist,mobility aid users"</formula1>
    </dataValidation>
    <dataValidation type="list" allowBlank="1" showInputMessage="1" showErrorMessage="1" sqref="C2:C1048576" xr:uid="{45C952C9-BFEB-40F8-BD57-8C663606029C}">
      <formula1>"Pipeline Rd,Second Beach,Causeway,Ferguson Pt"</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967C-15F2-4E23-BE96-80C6EDEFFE4F}">
  <dimension ref="A1:C7"/>
  <sheetViews>
    <sheetView workbookViewId="0">
      <selection activeCell="B6" sqref="B6"/>
    </sheetView>
  </sheetViews>
  <sheetFormatPr defaultRowHeight="15" x14ac:dyDescent="0.25"/>
  <cols>
    <col min="1" max="1" width="13.42578125" bestFit="1" customWidth="1"/>
    <col min="2" max="2" width="16.85546875" bestFit="1" customWidth="1"/>
    <col min="3" max="3" width="11.28515625" bestFit="1" customWidth="1"/>
    <col min="4" max="4" width="17.28515625" bestFit="1" customWidth="1"/>
    <col min="5" max="5" width="10.7109375" bestFit="1" customWidth="1"/>
    <col min="6" max="6" width="11.28515625" bestFit="1" customWidth="1"/>
  </cols>
  <sheetData>
    <row r="1" spans="1:3" x14ac:dyDescent="0.25">
      <c r="A1" s="5" t="s">
        <v>2</v>
      </c>
      <c r="B1" t="s">
        <v>47</v>
      </c>
    </row>
    <row r="3" spans="1:3" x14ac:dyDescent="0.25">
      <c r="A3" s="5" t="s">
        <v>46</v>
      </c>
      <c r="B3" s="5" t="s">
        <v>45</v>
      </c>
    </row>
    <row r="4" spans="1:3" x14ac:dyDescent="0.25">
      <c r="A4" s="5" t="s">
        <v>42</v>
      </c>
      <c r="B4" t="s">
        <v>38</v>
      </c>
      <c r="C4" t="s">
        <v>43</v>
      </c>
    </row>
    <row r="5" spans="1:3" x14ac:dyDescent="0.25">
      <c r="A5" s="6" t="s">
        <v>44</v>
      </c>
      <c r="B5">
        <v>492</v>
      </c>
      <c r="C5">
        <v>492</v>
      </c>
    </row>
    <row r="6" spans="1:3" x14ac:dyDescent="0.25">
      <c r="A6" s="6" t="s">
        <v>48</v>
      </c>
      <c r="B6">
        <v>240</v>
      </c>
      <c r="C6">
        <v>240</v>
      </c>
    </row>
    <row r="7" spans="1:3" x14ac:dyDescent="0.25">
      <c r="A7" s="6" t="s">
        <v>43</v>
      </c>
      <c r="B7">
        <v>732</v>
      </c>
      <c r="C7">
        <v>732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1198-453C-40A9-8D9B-BF3A77CBCDC3}">
  <dimension ref="A1:E27"/>
  <sheetViews>
    <sheetView tabSelected="1" workbookViewId="0">
      <selection activeCell="U8" sqref="U8"/>
    </sheetView>
  </sheetViews>
  <sheetFormatPr defaultRowHeight="15" x14ac:dyDescent="0.25"/>
  <cols>
    <col min="1" max="1" width="15.5703125" bestFit="1" customWidth="1"/>
    <col min="2" max="2" width="16.85546875" bestFit="1" customWidth="1"/>
    <col min="3" max="3" width="13.7109375" bestFit="1" customWidth="1"/>
    <col min="4" max="4" width="10.7109375" bestFit="1" customWidth="1"/>
    <col min="5" max="6" width="11.28515625" bestFit="1" customWidth="1"/>
  </cols>
  <sheetData>
    <row r="1" spans="1:5" x14ac:dyDescent="0.25">
      <c r="A1" s="5" t="s">
        <v>6</v>
      </c>
      <c r="B1" t="s">
        <v>41</v>
      </c>
    </row>
    <row r="3" spans="1:5" x14ac:dyDescent="0.25">
      <c r="A3" s="5" t="s">
        <v>46</v>
      </c>
      <c r="B3" s="5" t="s">
        <v>45</v>
      </c>
    </row>
    <row r="4" spans="1:5" x14ac:dyDescent="0.25">
      <c r="A4" s="5" t="s">
        <v>42</v>
      </c>
      <c r="B4" t="s">
        <v>38</v>
      </c>
      <c r="C4" t="s">
        <v>39</v>
      </c>
      <c r="D4" t="s">
        <v>37</v>
      </c>
      <c r="E4" t="s">
        <v>43</v>
      </c>
    </row>
    <row r="5" spans="1:5" x14ac:dyDescent="0.25">
      <c r="A5" s="6" t="s">
        <v>17</v>
      </c>
      <c r="C5">
        <v>44</v>
      </c>
      <c r="D5">
        <v>293</v>
      </c>
      <c r="E5">
        <v>337</v>
      </c>
    </row>
    <row r="6" spans="1:5" x14ac:dyDescent="0.25">
      <c r="A6" s="7" t="s">
        <v>16</v>
      </c>
      <c r="C6">
        <v>44</v>
      </c>
      <c r="D6">
        <v>138</v>
      </c>
      <c r="E6">
        <v>182</v>
      </c>
    </row>
    <row r="7" spans="1:5" x14ac:dyDescent="0.25">
      <c r="A7" s="7" t="s">
        <v>10</v>
      </c>
      <c r="D7">
        <v>155</v>
      </c>
      <c r="E7">
        <v>155</v>
      </c>
    </row>
    <row r="8" spans="1:5" x14ac:dyDescent="0.25">
      <c r="A8" s="6" t="s">
        <v>36</v>
      </c>
      <c r="B8">
        <v>112</v>
      </c>
      <c r="E8">
        <v>112</v>
      </c>
    </row>
    <row r="9" spans="1:5" x14ac:dyDescent="0.25">
      <c r="A9" s="7" t="s">
        <v>14</v>
      </c>
      <c r="B9">
        <v>112</v>
      </c>
      <c r="E9">
        <v>112</v>
      </c>
    </row>
    <row r="10" spans="1:5" x14ac:dyDescent="0.25">
      <c r="A10" s="6" t="s">
        <v>15</v>
      </c>
      <c r="B10">
        <v>71</v>
      </c>
      <c r="E10">
        <v>71</v>
      </c>
    </row>
    <row r="11" spans="1:5" x14ac:dyDescent="0.25">
      <c r="A11" s="7" t="s">
        <v>12</v>
      </c>
      <c r="B11">
        <v>71</v>
      </c>
      <c r="E11">
        <v>71</v>
      </c>
    </row>
    <row r="12" spans="1:5" x14ac:dyDescent="0.25">
      <c r="A12" s="6" t="s">
        <v>43</v>
      </c>
      <c r="B12">
        <v>183</v>
      </c>
      <c r="C12">
        <v>44</v>
      </c>
      <c r="D12">
        <v>293</v>
      </c>
      <c r="E12">
        <v>520</v>
      </c>
    </row>
    <row r="25" spans="1:2" x14ac:dyDescent="0.25">
      <c r="A25" s="1" t="s">
        <v>49</v>
      </c>
      <c r="B25">
        <f>SUMIF(TrafficData[Status],"Conflict",TrafficData[Count])</f>
        <v>520</v>
      </c>
    </row>
    <row r="26" spans="1:2" x14ac:dyDescent="0.25">
      <c r="B26">
        <f>SUM(TrafficData[Count])</f>
        <v>2613</v>
      </c>
    </row>
    <row r="27" spans="1:2" x14ac:dyDescent="0.25">
      <c r="B27" s="8">
        <f>B25/B26</f>
        <v>0.19900497512437812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Seawall_Data</vt:lpstr>
      <vt:lpstr>Flow_Pivot</vt:lpstr>
      <vt:lpstr>Conflicts_Pivot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Watts</dc:creator>
  <cp:lastModifiedBy>John Watts</cp:lastModifiedBy>
  <dcterms:created xsi:type="dcterms:W3CDTF">2026-02-24T17:15:03Z</dcterms:created>
  <dcterms:modified xsi:type="dcterms:W3CDTF">2026-02-24T18:56:09Z</dcterms:modified>
</cp:coreProperties>
</file>