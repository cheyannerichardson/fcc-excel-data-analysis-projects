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C:\Users\John\Desktop\rhode\freeCodeCampEXCEL\Project6_TrafficInventoryProject\"/>
    </mc:Choice>
  </mc:AlternateContent>
  <xr:revisionPtr revIDLastSave="0" documentId="8_{06331017-B92E-4F80-BD00-7B4E1BF27AD6}" xr6:coauthVersionLast="47" xr6:coauthVersionMax="47" xr10:uidLastSave="{00000000-0000-0000-0000-000000000000}"/>
  <bookViews>
    <workbookView xWindow="3330" yWindow="2850" windowWidth="33240" windowHeight="15885" activeTab="1" xr2:uid="{EB96B52B-D4B3-4BB0-AFFB-720FBCFB6E4D}"/>
  </bookViews>
  <sheets>
    <sheet name="RiskAnalyzer" sheetId="1" r:id="rId1"/>
    <sheet name="ClimateRisks" sheetId="3" r:id="rId2"/>
  </sheets>
  <definedNames>
    <definedName name="Slicer_Scenario">#N/A</definedName>
  </definedNames>
  <calcPr calcId="191029"/>
  <pivotCaches>
    <pivotCache cacheId="20" r:id="rId3"/>
  </pivotCaches>
  <extLst>
    <ext xmlns:x14="http://schemas.microsoft.com/office/spreadsheetml/2009/9/main" uri="{BBE1A952-AA13-448e-AADC-164F8A28A991}">
      <x14:slicerCaches>
        <x14:slicerCache r:id="rId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3" i="1" l="1"/>
  <c r="J4" i="1"/>
  <c r="J5" i="1"/>
  <c r="J6" i="1"/>
  <c r="I3" i="1"/>
  <c r="I4" i="1"/>
  <c r="I5" i="1"/>
  <c r="I6" i="1"/>
  <c r="G3" i="1"/>
  <c r="G4" i="1"/>
  <c r="G5" i="1"/>
  <c r="G6" i="1"/>
  <c r="G2" i="1"/>
  <c r="I2" i="1" s="1"/>
  <c r="F3" i="1"/>
  <c r="F4" i="1"/>
  <c r="F5" i="1"/>
  <c r="F6" i="1"/>
  <c r="F2" i="1"/>
  <c r="J2" i="1" s="1"/>
  <c r="H3" i="1"/>
  <c r="H4" i="1"/>
  <c r="H5" i="1"/>
  <c r="H6" i="1"/>
  <c r="H2" i="1"/>
</calcChain>
</file>

<file path=xl/sharedStrings.xml><?xml version="1.0" encoding="utf-8"?>
<sst xmlns="http://schemas.openxmlformats.org/spreadsheetml/2006/main" count="36" uniqueCount="29">
  <si>
    <t>Risk Factor</t>
  </si>
  <si>
    <t>Description</t>
  </si>
  <si>
    <t>Probability</t>
  </si>
  <si>
    <t>Impact Score</t>
  </si>
  <si>
    <t>Sea Level Rise</t>
  </si>
  <si>
    <t>Annual rise projection</t>
  </si>
  <si>
    <t>Storms</t>
  </si>
  <si>
    <t>Frequency/Intensity</t>
  </si>
  <si>
    <t>Erosion</t>
  </si>
  <si>
    <t>Wave action</t>
  </si>
  <si>
    <t>Earthquakes</t>
  </si>
  <si>
    <t>Traffic Overload</t>
  </si>
  <si>
    <t>Seismic risks</t>
  </si>
  <si>
    <t>Pedestiran/cyclist volume</t>
  </si>
  <si>
    <t>Mititgation Cost</t>
  </si>
  <si>
    <t>Weight Factor</t>
  </si>
  <si>
    <t>Scenario</t>
  </si>
  <si>
    <t>low</t>
  </si>
  <si>
    <t>medium</t>
  </si>
  <si>
    <t>high</t>
  </si>
  <si>
    <t>critical</t>
  </si>
  <si>
    <t>Raw Risk</t>
  </si>
  <si>
    <t>Total Weighted Risk</t>
  </si>
  <si>
    <t>Total Weighted Cost</t>
  </si>
  <si>
    <t>Sum of Mititgation Cost</t>
  </si>
  <si>
    <t>Sum of Raw Risk</t>
  </si>
  <si>
    <t>(All)</t>
  </si>
  <si>
    <t>Row Labels</t>
  </si>
  <si>
    <t>Grand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</si>
</sst>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3">
    <font>
      <sz val="11"/>
      <color theme="1"/>
      <name val="Aptos Narrow"/>
      <family val="2"/>
      <scheme val="minor"/>
    </font>
    <font>
      <b/>
      <sz val="11"/>
      <color theme="1"/>
      <name val="Aptos Narrow"/>
      <family val="2"/>
      <scheme val="minor"/>
    </font>
    <font>
      <sz val="10"/>
      <color theme="1"/>
      <name val="Arial Unicode MS"/>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164" fontId="0" fillId="0" borderId="0" xfId="0" applyNumberFormat="1"/>
    <xf numFmtId="0" fontId="2" fillId="0" borderId="0" xfId="0" applyFont="1"/>
    <xf numFmtId="0" fontId="1" fillId="0" borderId="0" xfId="0" applyFont="1"/>
    <xf numFmtId="164" fontId="1" fillId="0" borderId="0" xfId="0" applyNumberFormat="1" applyFont="1"/>
    <xf numFmtId="0" fontId="0" fillId="0" borderId="0" xfId="0" pivotButton="1"/>
    <xf numFmtId="0" fontId="0" fillId="0" borderId="0" xfId="0" applyAlignment="1">
      <alignment horizontal="left"/>
    </xf>
    <xf numFmtId="0" fontId="0" fillId="0" borderId="0" xfId="0" applyNumberFormat="1"/>
  </cellXfs>
  <cellStyles count="1">
    <cellStyle name="Normal" xfId="0" builtinId="0"/>
  </cellStyles>
  <dxfs count="0"/>
  <tableStyles count="0" defaultTableStyle="TableStyleMedium2" defaultPivotStyle="PivotStyleLight16"/>
  <colors>
    <mruColors>
      <color rgb="FFFFFF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pivotCacheDefinition" Target="pivotCache/pivotCacheDefinition1.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[ClimateRiskAnalyzerDecisionMatrix.xlsx]ClimateRisks!PivotTable15</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Stanely</a:t>
            </a:r>
            <a:r>
              <a:rPr lang="en-US" baseline="0"/>
              <a:t> Park Climate Risks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ClimateRisks!$B$3</c:f>
              <c:strCache>
                <c:ptCount val="1"/>
                <c:pt idx="0">
                  <c:v>Sum of Raw Risk</c:v>
                </c:pt>
              </c:strCache>
            </c:strRef>
          </c:tx>
          <c:spPr>
            <a:solidFill>
              <a:schemeClr val="accent1"/>
            </a:solidFill>
            <a:ln>
              <a:noFill/>
            </a:ln>
            <a:effectLst/>
          </c:spPr>
          <c:invertIfNegative val="0"/>
          <c:cat>
            <c:strRef>
              <c:f>ClimateRisks!$A$4:$A$9</c:f>
              <c:strCache>
                <c:ptCount val="5"/>
                <c:pt idx="0">
                  <c:v>Earthquakes</c:v>
                </c:pt>
                <c:pt idx="1">
                  <c:v>Erosion</c:v>
                </c:pt>
                <c:pt idx="2">
                  <c:v>Sea Level Rise</c:v>
                </c:pt>
                <c:pt idx="3">
                  <c:v>Storms</c:v>
                </c:pt>
                <c:pt idx="4">
                  <c:v>Traffic Overload</c:v>
                </c:pt>
              </c:strCache>
            </c:strRef>
          </c:cat>
          <c:val>
            <c:numRef>
              <c:f>ClimateRisks!$B$4:$B$9</c:f>
              <c:numCache>
                <c:formatCode>General</c:formatCode>
                <c:ptCount val="5"/>
                <c:pt idx="0">
                  <c:v>15</c:v>
                </c:pt>
                <c:pt idx="1">
                  <c:v>16</c:v>
                </c:pt>
                <c:pt idx="2">
                  <c:v>25</c:v>
                </c:pt>
                <c:pt idx="3">
                  <c:v>16</c:v>
                </c:pt>
                <c:pt idx="4">
                  <c:v>9</c:v>
                </c:pt>
              </c:numCache>
            </c:numRef>
          </c:val>
          <c:extLst>
            <c:ext xmlns:c16="http://schemas.microsoft.com/office/drawing/2014/chart" uri="{C3380CC4-5D6E-409C-BE32-E72D297353CC}">
              <c16:uniqueId val="{00000000-C8DD-4746-B424-5E541A809B01}"/>
            </c:ext>
          </c:extLst>
        </c:ser>
        <c:dLbls>
          <c:showLegendKey val="0"/>
          <c:showVal val="0"/>
          <c:showCatName val="0"/>
          <c:showSerName val="0"/>
          <c:showPercent val="0"/>
          <c:showBubbleSize val="0"/>
        </c:dLbls>
        <c:gapWidth val="219"/>
        <c:overlap val="-27"/>
        <c:axId val="383529087"/>
        <c:axId val="383526687"/>
      </c:barChart>
      <c:lineChart>
        <c:grouping val="standard"/>
        <c:varyColors val="0"/>
        <c:ser>
          <c:idx val="1"/>
          <c:order val="1"/>
          <c:tx>
            <c:strRef>
              <c:f>ClimateRisks!$C$3</c:f>
              <c:strCache>
                <c:ptCount val="1"/>
                <c:pt idx="0">
                  <c:v>Sum of Mititgation Cost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ClimateRisks!$A$4:$A$9</c:f>
              <c:strCache>
                <c:ptCount val="5"/>
                <c:pt idx="0">
                  <c:v>Earthquakes</c:v>
                </c:pt>
                <c:pt idx="1">
                  <c:v>Erosion</c:v>
                </c:pt>
                <c:pt idx="2">
                  <c:v>Sea Level Rise</c:v>
                </c:pt>
                <c:pt idx="3">
                  <c:v>Storms</c:v>
                </c:pt>
                <c:pt idx="4">
                  <c:v>Traffic Overload</c:v>
                </c:pt>
              </c:strCache>
            </c:strRef>
          </c:cat>
          <c:val>
            <c:numRef>
              <c:f>ClimateRisks!$C$4:$C$9</c:f>
              <c:numCache>
                <c:formatCode>"$"#,##0.00</c:formatCode>
                <c:ptCount val="5"/>
                <c:pt idx="0">
                  <c:v>750</c:v>
                </c:pt>
                <c:pt idx="1">
                  <c:v>400</c:v>
                </c:pt>
                <c:pt idx="2">
                  <c:v>75</c:v>
                </c:pt>
                <c:pt idx="3">
                  <c:v>200</c:v>
                </c:pt>
                <c:pt idx="4">
                  <c:v>200</c:v>
                </c:pt>
              </c:numCache>
            </c:numRef>
          </c:val>
          <c:smooth val="0"/>
          <c:extLst>
            <c:ext xmlns:c16="http://schemas.microsoft.com/office/drawing/2014/chart" uri="{C3380CC4-5D6E-409C-BE32-E72D297353CC}">
              <c16:uniqueId val="{00000001-C8DD-4746-B424-5E541A809B01}"/>
            </c:ext>
          </c:extLst>
        </c:ser>
        <c:dLbls>
          <c:showLegendKey val="0"/>
          <c:showVal val="0"/>
          <c:showCatName val="0"/>
          <c:showSerName val="0"/>
          <c:showPercent val="0"/>
          <c:showBubbleSize val="0"/>
        </c:dLbls>
        <c:marker val="1"/>
        <c:smooth val="0"/>
        <c:axId val="240737328"/>
        <c:axId val="240736848"/>
      </c:lineChart>
      <c:catAx>
        <c:axId val="3835290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3526687"/>
        <c:crosses val="autoZero"/>
        <c:auto val="1"/>
        <c:lblAlgn val="ctr"/>
        <c:lblOffset val="100"/>
        <c:noMultiLvlLbl val="0"/>
      </c:catAx>
      <c:valAx>
        <c:axId val="3835266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3529087"/>
        <c:crosses val="autoZero"/>
        <c:crossBetween val="between"/>
      </c:valAx>
      <c:valAx>
        <c:axId val="240736848"/>
        <c:scaling>
          <c:orientation val="minMax"/>
        </c:scaling>
        <c:delete val="0"/>
        <c:axPos val="r"/>
        <c:numFmt formatCode="&quot;$&quot;#,##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0737328"/>
        <c:crosses val="max"/>
        <c:crossBetween val="between"/>
      </c:valAx>
      <c:catAx>
        <c:axId val="240737328"/>
        <c:scaling>
          <c:orientation val="minMax"/>
        </c:scaling>
        <c:delete val="1"/>
        <c:axPos val="b"/>
        <c:numFmt formatCode="General" sourceLinked="1"/>
        <c:majorTickMark val="out"/>
        <c:minorTickMark val="none"/>
        <c:tickLblPos val="nextTo"/>
        <c:crossAx val="240736848"/>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3</xdr:col>
      <xdr:colOff>581025</xdr:colOff>
      <xdr:row>0</xdr:row>
      <xdr:rowOff>76200</xdr:rowOff>
    </xdr:from>
    <xdr:to>
      <xdr:col>6</xdr:col>
      <xdr:colOff>581025</xdr:colOff>
      <xdr:row>14</xdr:row>
      <xdr:rowOff>76200</xdr:rowOff>
    </xdr:to>
    <mc:AlternateContent xmlns:mc="http://schemas.openxmlformats.org/markup-compatibility/2006">
      <mc:Choice xmlns:a14="http://schemas.microsoft.com/office/drawing/2010/main" Requires="a14">
        <xdr:graphicFrame macro="">
          <xdr:nvGraphicFramePr>
            <xdr:cNvPr id="2" name="Scenario">
              <a:extLst>
                <a:ext uri="{FF2B5EF4-FFF2-40B4-BE49-F238E27FC236}">
                  <a16:creationId xmlns:a16="http://schemas.microsoft.com/office/drawing/2014/main" id="{DAF1B900-7FFE-5B3A-6F3B-F0EA411C8E33}"/>
                </a:ext>
              </a:extLst>
            </xdr:cNvPr>
            <xdr:cNvGraphicFramePr/>
          </xdr:nvGraphicFramePr>
          <xdr:xfrm>
            <a:off x="0" y="0"/>
            <a:ext cx="0" cy="0"/>
          </xdr:xfrm>
          <a:graphic>
            <a:graphicData uri="http://schemas.microsoft.com/office/drawing/2010/slicer">
              <sle:slicer xmlns:sle="http://schemas.microsoft.com/office/drawing/2010/slicer" name="Scenario"/>
            </a:graphicData>
          </a:graphic>
        </xdr:graphicFrame>
      </mc:Choice>
      <mc:Fallback>
        <xdr:sp macro="" textlink="">
          <xdr:nvSpPr>
            <xdr:cNvPr id="0" name=""/>
            <xdr:cNvSpPr>
              <a:spLocks noTextEdit="1"/>
            </xdr:cNvSpPr>
          </xdr:nvSpPr>
          <xdr:spPr>
            <a:xfrm>
              <a:off x="4152900" y="76200"/>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209550</xdr:colOff>
      <xdr:row>15</xdr:row>
      <xdr:rowOff>47624</xdr:rowOff>
    </xdr:from>
    <xdr:to>
      <xdr:col>8</xdr:col>
      <xdr:colOff>66675</xdr:colOff>
      <xdr:row>36</xdr:row>
      <xdr:rowOff>38099</xdr:rowOff>
    </xdr:to>
    <xdr:graphicFrame macro="">
      <xdr:nvGraphicFramePr>
        <xdr:cNvPr id="4" name="Chart 3">
          <a:extLst>
            <a:ext uri="{FF2B5EF4-FFF2-40B4-BE49-F238E27FC236}">
              <a16:creationId xmlns:a16="http://schemas.microsoft.com/office/drawing/2014/main" id="{88D8DDF8-DA7C-6716-D4ED-6960E345C34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ohn" refreshedDate="46077.612050115742" createdVersion="8" refreshedVersion="8" minRefreshableVersion="3" recordCount="5" xr:uid="{47315140-0ADC-4D1D-AE24-6C0B9788C3F3}">
  <cacheSource type="worksheet">
    <worksheetSource ref="A1:J6" sheet="RiskAnalyzer"/>
  </cacheSource>
  <cacheFields count="10">
    <cacheField name="Risk Factor" numFmtId="0">
      <sharedItems count="5">
        <s v="Sea Level Rise"/>
        <s v="Storms"/>
        <s v="Erosion"/>
        <s v="Earthquakes"/>
        <s v="Traffic Overload"/>
      </sharedItems>
    </cacheField>
    <cacheField name="Description" numFmtId="0">
      <sharedItems/>
    </cacheField>
    <cacheField name="Probability" numFmtId="0">
      <sharedItems containsSemiMixedTypes="0" containsString="0" containsNumber="1" containsInteger="1" minValue="3" maxValue="5"/>
    </cacheField>
    <cacheField name="Impact Score" numFmtId="0">
      <sharedItems containsSemiMixedTypes="0" containsString="0" containsNumber="1" containsInteger="1" minValue="3" maxValue="5"/>
    </cacheField>
    <cacheField name="Scenario" numFmtId="0">
      <sharedItems count="4">
        <s v="low"/>
        <s v="medium"/>
        <s v="high"/>
        <s v="critical"/>
      </sharedItems>
    </cacheField>
    <cacheField name="Mititgation Cost" numFmtId="164">
      <sharedItems containsSemiMixedTypes="0" containsString="0" containsNumber="1" containsInteger="1" minValue="75" maxValue="750"/>
    </cacheField>
    <cacheField name="Weight Factor" numFmtId="0">
      <sharedItems containsSemiMixedTypes="0" containsString="0" containsNumber="1" minValue="0.2" maxValue="1"/>
    </cacheField>
    <cacheField name="Raw Risk" numFmtId="0">
      <sharedItems containsSemiMixedTypes="0" containsString="0" containsNumber="1" containsInteger="1" minValue="9" maxValue="25"/>
    </cacheField>
    <cacheField name="Total Weighted Risk" numFmtId="0">
      <sharedItems containsSemiMixedTypes="0" containsString="0" containsNumber="1" minValue="4.5" maxValue="45.3"/>
    </cacheField>
    <cacheField name="Total Weighted Cost" numFmtId="0">
      <sharedItems containsSemiMixedTypes="0" containsString="0" containsNumber="1" containsInteger="1" minValue="100" maxValue="1285"/>
    </cacheField>
  </cacheFields>
  <extLst>
    <ext xmlns:x14="http://schemas.microsoft.com/office/spreadsheetml/2009/9/main" uri="{725AE2AE-9491-48be-B2B4-4EB974FC3084}">
      <x14:pivotCacheDefinition pivotCacheId="57463909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
  <r>
    <x v="0"/>
    <s v="Annual rise projection"/>
    <n v="5"/>
    <n v="5"/>
    <x v="0"/>
    <n v="75"/>
    <n v="0.2"/>
    <n v="25"/>
    <n v="45.3"/>
    <n v="1285"/>
  </r>
  <r>
    <x v="1"/>
    <s v="Frequency/Intensity"/>
    <n v="4"/>
    <n v="4"/>
    <x v="1"/>
    <n v="200"/>
    <n v="0.5"/>
    <n v="16"/>
    <n v="40.299999999999997"/>
    <n v="1270"/>
  </r>
  <r>
    <x v="2"/>
    <s v="Wave action"/>
    <n v="4"/>
    <n v="4"/>
    <x v="2"/>
    <n v="400"/>
    <n v="0.8"/>
    <n v="16"/>
    <n v="32.299999999999997"/>
    <n v="1170"/>
  </r>
  <r>
    <x v="3"/>
    <s v="Seismic risks"/>
    <n v="3"/>
    <n v="5"/>
    <x v="3"/>
    <n v="750"/>
    <n v="1"/>
    <n v="15"/>
    <n v="19.5"/>
    <n v="850"/>
  </r>
  <r>
    <x v="4"/>
    <s v="Pedestiran/cyclist volume"/>
    <n v="3"/>
    <n v="3"/>
    <x v="1"/>
    <n v="200"/>
    <n v="0.5"/>
    <n v="9"/>
    <n v="4.5"/>
    <n v="1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0A09A6C-E861-4012-8CC8-4F0E85320DAC}" name="PivotTable15"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C9" firstHeaderRow="0" firstDataRow="1" firstDataCol="1" rowPageCount="1" colPageCount="1"/>
  <pivotFields count="10">
    <pivotField axis="axisRow" showAll="0">
      <items count="6">
        <item x="3"/>
        <item x="2"/>
        <item x="0"/>
        <item x="1"/>
        <item x="4"/>
        <item t="default"/>
      </items>
    </pivotField>
    <pivotField showAll="0"/>
    <pivotField showAll="0"/>
    <pivotField showAll="0"/>
    <pivotField axis="axisPage" showAll="0">
      <items count="5">
        <item x="3"/>
        <item x="2"/>
        <item x="0"/>
        <item x="1"/>
        <item t="default"/>
      </items>
    </pivotField>
    <pivotField dataField="1" numFmtId="164" showAll="0"/>
    <pivotField showAll="0"/>
    <pivotField dataField="1" showAll="0"/>
    <pivotField showAll="0"/>
    <pivotField showAll="0"/>
  </pivotFields>
  <rowFields count="1">
    <field x="0"/>
  </rowFields>
  <rowItems count="6">
    <i>
      <x/>
    </i>
    <i>
      <x v="1"/>
    </i>
    <i>
      <x v="2"/>
    </i>
    <i>
      <x v="3"/>
    </i>
    <i>
      <x v="4"/>
    </i>
    <i t="grand">
      <x/>
    </i>
  </rowItems>
  <colFields count="1">
    <field x="-2"/>
  </colFields>
  <colItems count="2">
    <i>
      <x/>
    </i>
    <i i="1">
      <x v="1"/>
    </i>
  </colItems>
  <pageFields count="1">
    <pageField fld="4" hier="-1"/>
  </pageFields>
  <dataFields count="2">
    <dataField name="Sum of Raw Risk" fld="7" baseField="0" baseItem="0"/>
    <dataField name="Sum of Mititgation Cost" fld="5" baseField="0" baseItem="0" numFmtId="164"/>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cenario" xr10:uid="{C1B10702-11F0-4BEC-B61F-24288F851EEA}" sourceName="Scenario">
  <pivotTables>
    <pivotTable tabId="3" name="PivotTable15"/>
  </pivotTables>
  <data>
    <tabular pivotCacheId="574639097">
      <items count="4">
        <i x="3" s="1"/>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cenario" xr10:uid="{C293E23F-BDD4-4768-953E-18CE10462F88}" cache="Slicer_Scenario" caption="Scenario" rowHeight="257175"/>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05BEAA-DED3-4CF8-BDE1-4AA7545C2DE8}">
  <dimension ref="A1:J6"/>
  <sheetViews>
    <sheetView workbookViewId="0">
      <selection activeCell="D4" sqref="D4"/>
    </sheetView>
  </sheetViews>
  <sheetFormatPr defaultRowHeight="15"/>
  <cols>
    <col min="1" max="1" width="15.140625" bestFit="1" customWidth="1"/>
    <col min="2" max="2" width="24" bestFit="1" customWidth="1"/>
    <col min="3" max="3" width="10.5703125" bestFit="1" customWidth="1"/>
    <col min="4" max="4" width="12.42578125" bestFit="1" customWidth="1"/>
    <col min="5" max="5" width="8.7109375" bestFit="1" customWidth="1"/>
    <col min="6" max="6" width="14.85546875" style="1" bestFit="1" customWidth="1"/>
    <col min="7" max="7" width="13.140625" bestFit="1" customWidth="1"/>
    <col min="8" max="8" width="8.85546875" bestFit="1" customWidth="1"/>
    <col min="9" max="9" width="18.42578125" bestFit="1" customWidth="1"/>
    <col min="10" max="10" width="18.5703125" bestFit="1" customWidth="1"/>
  </cols>
  <sheetData>
    <row r="1" spans="1:10">
      <c r="A1" s="3" t="s">
        <v>0</v>
      </c>
      <c r="B1" s="3" t="s">
        <v>1</v>
      </c>
      <c r="C1" s="3" t="s">
        <v>2</v>
      </c>
      <c r="D1" s="3" t="s">
        <v>3</v>
      </c>
      <c r="E1" s="3" t="s">
        <v>16</v>
      </c>
      <c r="F1" s="4" t="s">
        <v>14</v>
      </c>
      <c r="G1" s="3" t="s">
        <v>15</v>
      </c>
      <c r="H1" s="3" t="s">
        <v>21</v>
      </c>
      <c r="I1" s="3" t="s">
        <v>22</v>
      </c>
      <c r="J1" s="3" t="s">
        <v>23</v>
      </c>
    </row>
    <row r="2" spans="1:10">
      <c r="A2" t="s">
        <v>4</v>
      </c>
      <c r="B2" t="s">
        <v>5</v>
      </c>
      <c r="C2">
        <v>5</v>
      </c>
      <c r="D2">
        <v>5</v>
      </c>
      <c r="E2" t="s">
        <v>17</v>
      </c>
      <c r="F2" s="1">
        <f>IF(E2="Low",75,IF(E2="Medium",200,IF(E2="High",400,IF(E2="Critical",750,0))))</f>
        <v>75</v>
      </c>
      <c r="G2" s="2">
        <f>IF(E2="Low",0.2,IF(E2="Medium",0.5,IF(E2="High",0.8,IF(E2="Critical",1,0))))</f>
        <v>0.2</v>
      </c>
      <c r="H2">
        <f>C2*D2</f>
        <v>25</v>
      </c>
      <c r="I2">
        <f>SUMPRODUCT(H2:H6,G2:G6)</f>
        <v>45.3</v>
      </c>
      <c r="J2" s="2">
        <f>SUMPRODUCT(F2:F6,G2:G6)</f>
        <v>1285</v>
      </c>
    </row>
    <row r="3" spans="1:10">
      <c r="A3" t="s">
        <v>6</v>
      </c>
      <c r="B3" t="s">
        <v>7</v>
      </c>
      <c r="C3">
        <v>4</v>
      </c>
      <c r="D3">
        <v>4</v>
      </c>
      <c r="E3" t="s">
        <v>18</v>
      </c>
      <c r="F3" s="1">
        <f t="shared" ref="F3:F6" si="0">IF(E3="Low",75,IF(E3="Medium",200,IF(E3="High",400,IF(E3="Critical",750,0))))</f>
        <v>200</v>
      </c>
      <c r="G3" s="2">
        <f t="shared" ref="G3:G6" si="1">IF(E3="Low",0.2,IF(E3="Medium",0.5,IF(E3="High",0.8,IF(E3="Critical",1,0))))</f>
        <v>0.5</v>
      </c>
      <c r="H3">
        <f t="shared" ref="H3:H6" si="2">C3*D3</f>
        <v>16</v>
      </c>
      <c r="I3">
        <f t="shared" ref="I3:I6" si="3">SUMPRODUCT(H3:H7,G3:G7)</f>
        <v>40.299999999999997</v>
      </c>
      <c r="J3" s="2">
        <f t="shared" ref="J3:J6" si="4">SUMPRODUCT(F3:F7,G3:G7)</f>
        <v>1270</v>
      </c>
    </row>
    <row r="4" spans="1:10">
      <c r="A4" t="s">
        <v>8</v>
      </c>
      <c r="B4" t="s">
        <v>9</v>
      </c>
      <c r="C4">
        <v>4</v>
      </c>
      <c r="D4">
        <v>4</v>
      </c>
      <c r="E4" t="s">
        <v>19</v>
      </c>
      <c r="F4" s="1">
        <f t="shared" si="0"/>
        <v>400</v>
      </c>
      <c r="G4" s="2">
        <f t="shared" si="1"/>
        <v>0.8</v>
      </c>
      <c r="H4">
        <f t="shared" si="2"/>
        <v>16</v>
      </c>
      <c r="I4">
        <f t="shared" si="3"/>
        <v>32.299999999999997</v>
      </c>
      <c r="J4" s="2">
        <f t="shared" si="4"/>
        <v>1170</v>
      </c>
    </row>
    <row r="5" spans="1:10">
      <c r="A5" t="s">
        <v>10</v>
      </c>
      <c r="B5" t="s">
        <v>12</v>
      </c>
      <c r="C5">
        <v>3</v>
      </c>
      <c r="D5">
        <v>5</v>
      </c>
      <c r="E5" t="s">
        <v>20</v>
      </c>
      <c r="F5" s="1">
        <f t="shared" si="0"/>
        <v>750</v>
      </c>
      <c r="G5" s="2">
        <f t="shared" si="1"/>
        <v>1</v>
      </c>
      <c r="H5">
        <f t="shared" si="2"/>
        <v>15</v>
      </c>
      <c r="I5">
        <f t="shared" si="3"/>
        <v>19.5</v>
      </c>
      <c r="J5" s="2">
        <f t="shared" si="4"/>
        <v>850</v>
      </c>
    </row>
    <row r="6" spans="1:10">
      <c r="A6" t="s">
        <v>11</v>
      </c>
      <c r="B6" t="s">
        <v>13</v>
      </c>
      <c r="C6">
        <v>3</v>
      </c>
      <c r="D6">
        <v>3</v>
      </c>
      <c r="E6" t="s">
        <v>18</v>
      </c>
      <c r="F6" s="1">
        <f t="shared" si="0"/>
        <v>200</v>
      </c>
      <c r="G6" s="2">
        <f t="shared" si="1"/>
        <v>0.5</v>
      </c>
      <c r="H6">
        <f t="shared" si="2"/>
        <v>9</v>
      </c>
      <c r="I6">
        <f t="shared" si="3"/>
        <v>4.5</v>
      </c>
      <c r="J6" s="2">
        <f t="shared" si="4"/>
        <v>100</v>
      </c>
    </row>
  </sheetData>
  <conditionalFormatting sqref="H1:H6">
    <cfRule type="colorScale" priority="3">
      <colorScale>
        <cfvo type="num" val="0"/>
        <cfvo type="percentile" val="12.5"/>
        <cfvo type="num" val="25"/>
        <color rgb="FF63BE7B"/>
        <color rgb="FFFFFF66"/>
        <color rgb="FFFF0000"/>
      </colorScale>
    </cfRule>
  </conditionalFormatting>
  <conditionalFormatting sqref="F1:F6">
    <cfRule type="colorScale" priority="2">
      <colorScale>
        <cfvo type="num" val="0"/>
        <cfvo type="num" val="375"/>
        <cfvo type="num" val="750"/>
        <color rgb="FF63BE7B"/>
        <color rgb="FFFFFF66"/>
        <color rgb="FFFF0000"/>
      </colorScale>
    </cfRule>
  </conditionalFormatting>
  <conditionalFormatting sqref="G1:G6">
    <cfRule type="colorScale" priority="1">
      <colorScale>
        <cfvo type="num" val="0"/>
        <cfvo type="num" val="0.5"/>
        <cfvo type="num" val="1"/>
        <color rgb="FF63BE7B"/>
        <color rgb="FFFFFF66"/>
        <color rgb="FFFF0000"/>
      </colorScale>
    </cfRule>
  </conditionalFormatting>
  <dataValidations count="2">
    <dataValidation type="list" allowBlank="1" showInputMessage="1" showErrorMessage="1" sqref="E3:E1048576" xr:uid="{C084628B-F7A5-48A2-B2B9-CC3381962DB8}">
      <formula1>" low,medium,high,critical"</formula1>
    </dataValidation>
    <dataValidation type="list" allowBlank="1" showInputMessage="1" showErrorMessage="1" sqref="E2" xr:uid="{603640C4-6D05-4AC9-A833-EF69C3F98840}">
      <formula1>"low,medium,high,critical"</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504A8C-7CC1-4360-B49A-65743C6558D7}">
  <dimension ref="A1:C9"/>
  <sheetViews>
    <sheetView tabSelected="1" workbookViewId="0">
      <selection activeCell="W36" sqref="V36:W36"/>
    </sheetView>
  </sheetViews>
  <sheetFormatPr defaultRowHeight="15"/>
  <cols>
    <col min="1" max="1" width="15.140625" bestFit="1" customWidth="1"/>
    <col min="2" max="2" width="15.85546875" bestFit="1" customWidth="1"/>
    <col min="3" max="3" width="22.5703125" bestFit="1" customWidth="1"/>
  </cols>
  <sheetData>
    <row r="1" spans="1:3">
      <c r="A1" s="5" t="s">
        <v>16</v>
      </c>
      <c r="B1" t="s">
        <v>26</v>
      </c>
    </row>
    <row r="3" spans="1:3">
      <c r="A3" s="5" t="s">
        <v>27</v>
      </c>
      <c r="B3" t="s">
        <v>25</v>
      </c>
      <c r="C3" t="s">
        <v>24</v>
      </c>
    </row>
    <row r="4" spans="1:3">
      <c r="A4" s="6" t="s">
        <v>10</v>
      </c>
      <c r="B4" s="7">
        <v>15</v>
      </c>
      <c r="C4" s="1">
        <v>750</v>
      </c>
    </row>
    <row r="5" spans="1:3">
      <c r="A5" s="6" t="s">
        <v>8</v>
      </c>
      <c r="B5" s="7">
        <v>16</v>
      </c>
      <c r="C5" s="1">
        <v>400</v>
      </c>
    </row>
    <row r="6" spans="1:3">
      <c r="A6" s="6" t="s">
        <v>4</v>
      </c>
      <c r="B6" s="7">
        <v>25</v>
      </c>
      <c r="C6" s="1">
        <v>75</v>
      </c>
    </row>
    <row r="7" spans="1:3">
      <c r="A7" s="6" t="s">
        <v>6</v>
      </c>
      <c r="B7" s="7">
        <v>16</v>
      </c>
      <c r="C7" s="1">
        <v>200</v>
      </c>
    </row>
    <row r="8" spans="1:3">
      <c r="A8" s="6" t="s">
        <v>11</v>
      </c>
      <c r="B8" s="7">
        <v>9</v>
      </c>
      <c r="C8" s="1">
        <v>200</v>
      </c>
    </row>
    <row r="9" spans="1:3">
      <c r="A9" s="6" t="s">
        <v>28</v>
      </c>
      <c r="B9" s="7">
        <v>81</v>
      </c>
      <c r="C9" s="1">
        <v>1625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RiskAnalyzer</vt:lpstr>
      <vt:lpstr>ClimateRisks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John Watts</dc:creator>
  <cp:lastModifiedBy>John Watts</cp:lastModifiedBy>
  <dcterms:created xsi:type="dcterms:W3CDTF">2026-02-24T19:02:17Z</dcterms:created>
  <dcterms:modified xsi:type="dcterms:W3CDTF">2026-02-24T19:53:16Z</dcterms:modified>
</cp:coreProperties>
</file>