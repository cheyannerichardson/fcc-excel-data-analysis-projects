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rhode\freeCodeCampEXCEL\Project3_DecisionMatrix\"/>
    </mc:Choice>
  </mc:AlternateContent>
  <xr:revisionPtr revIDLastSave="0" documentId="13_ncr:1_{E46F76D7-1196-41D4-BACA-AA7B915E1F7E}" xr6:coauthVersionLast="47" xr6:coauthVersionMax="47" xr10:uidLastSave="{00000000-0000-0000-0000-000000000000}"/>
  <bookViews>
    <workbookView xWindow="2985" yWindow="2205" windowWidth="33240" windowHeight="15885" xr2:uid="{6D1BAE02-1BD3-4172-B6AE-0B7BF42C3F5F}"/>
  </bookViews>
  <sheets>
    <sheet name="Lighthouse Decision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3" i="1"/>
  <c r="K4" i="1"/>
  <c r="K5" i="1"/>
  <c r="K6" i="1"/>
  <c r="K2" i="1"/>
</calcChain>
</file>

<file path=xl/sharedStrings.xml><?xml version="1.0" encoding="utf-8"?>
<sst xmlns="http://schemas.openxmlformats.org/spreadsheetml/2006/main" count="17" uniqueCount="17">
  <si>
    <t>Lighthouse</t>
  </si>
  <si>
    <t>Preservation Cost</t>
  </si>
  <si>
    <t>Zoning Compliance</t>
  </si>
  <si>
    <t>GIS Flood Risk</t>
  </si>
  <si>
    <t>Sustainbility Rating</t>
  </si>
  <si>
    <t>West Point Lighthouse (Seattle)</t>
  </si>
  <si>
    <t>Admirality Head Lighthouse (Whidbey Island)</t>
  </si>
  <si>
    <t>Lime Kiln Lighthouse (San Juan Island)</t>
  </si>
  <si>
    <t>Public Access &amp; Tourism Value</t>
  </si>
  <si>
    <t>Ecological Impact</t>
  </si>
  <si>
    <t>Erosion/Sea Level Rise Rate</t>
  </si>
  <si>
    <t>Storm Frequency Exposure</t>
  </si>
  <si>
    <t>Cultural/Hisotircal Significance</t>
  </si>
  <si>
    <t>Cape Disappointment Lighthouse (Long Beach Peninsual)</t>
  </si>
  <si>
    <t>Cape Flattery Light (remote, Olympic coast)</t>
  </si>
  <si>
    <t xml:space="preserve">Total Formula </t>
  </si>
  <si>
    <t>MOST FINACIALY VIABLE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</si>
</sst>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Lighthouse Preservation</a:t>
            </a:r>
            <a:r>
              <a:rPr lang="en-US" baseline="0"/>
              <a:t> Priorities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'Lighthouse Decision Matrix'!$A$2</c:f>
              <c:strCache>
                <c:ptCount val="1"/>
                <c:pt idx="0">
                  <c:v>West Point Lighthouse (Seattle)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'Lighthouse Decision Matrix'!$B$2:$K$2</c:f>
              <c:numCache>
                <c:formatCode>General</c:formatCode>
                <c:ptCount val="10"/>
                <c:pt idx="0">
                  <c:v>1.5</c:v>
                </c:pt>
                <c:pt idx="1">
                  <c:v>9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A-4902-9F2B-29A079B23600}"/>
            </c:ext>
          </c:extLst>
        </c:ser>
        <c:ser>
          <c:idx val="1"/>
          <c:order val="1"/>
          <c:tx>
            <c:strRef>
              <c:f>'Lighthouse Decision Matrix'!$A$3</c:f>
              <c:strCache>
                <c:ptCount val="1"/>
                <c:pt idx="0">
                  <c:v>Admirality Head Lighthouse (Whidbey Island)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'Lighthouse Decision Matrix'!$B$3:$K$3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7.1000000000000014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A-4902-9F2B-29A079B23600}"/>
            </c:ext>
          </c:extLst>
        </c:ser>
        <c:ser>
          <c:idx val="2"/>
          <c:order val="2"/>
          <c:tx>
            <c:strRef>
              <c:f>'Lighthouse Decision Matrix'!$A$4</c:f>
              <c:strCache>
                <c:ptCount val="1"/>
                <c:pt idx="0">
                  <c:v>Lime Kiln Lighthouse (San Juan Island)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'Lighthouse Decision Matrix'!$B$4:$K$4</c:f>
              <c:numCache>
                <c:formatCode>General</c:formatCode>
                <c:ptCount val="10"/>
                <c:pt idx="0">
                  <c:v>1.8</c:v>
                </c:pt>
                <c:pt idx="1">
                  <c:v>9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11.699999999999998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A-4902-9F2B-29A079B23600}"/>
            </c:ext>
          </c:extLst>
        </c:ser>
        <c:ser>
          <c:idx val="3"/>
          <c:order val="3"/>
          <c:tx>
            <c:strRef>
              <c:f>'Lighthouse Decision Matrix'!$A$5</c:f>
              <c:strCache>
                <c:ptCount val="1"/>
                <c:pt idx="0">
                  <c:v>Cape Disappointment Lighthouse (Long Beach Peninsual)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'Lighthouse Decision Matrix'!$B$5:$K$5</c:f>
              <c:numCache>
                <c:formatCode>General</c:formatCode>
                <c:ptCount val="10"/>
                <c:pt idx="0">
                  <c:v>1.8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-4.5000000000000036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A-4902-9F2B-29A079B23600}"/>
            </c:ext>
          </c:extLst>
        </c:ser>
        <c:ser>
          <c:idx val="4"/>
          <c:order val="4"/>
          <c:tx>
            <c:strRef>
              <c:f>'Lighthouse Decision Matrix'!$A$6</c:f>
              <c:strCache>
                <c:ptCount val="1"/>
                <c:pt idx="0">
                  <c:v>Cape Flattery Light (remote, Olympic coast)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'Lighthouse Decision Matrix'!$B$6:$K$6</c:f>
              <c:numCache>
                <c:formatCode>General</c:formatCode>
                <c:ptCount val="10"/>
                <c:pt idx="0">
                  <c:v>2.5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6</c:v>
                </c:pt>
                <c:pt idx="9">
                  <c:v>-4.75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A-4902-9F2B-29A079B23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551248"/>
        <c:axId val="1433550288"/>
      </c:barChart>
      <c:catAx>
        <c:axId val="14335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50288"/>
        <c:crosses val="autoZero"/>
        <c:auto val="1"/>
        <c:lblAlgn val="ctr"/>
        <c:lblOffset val="100"/>
        <c:noMultiLvlLbl val="0"/>
      </c:catAx>
      <c:valAx>
        <c:axId val="14335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5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74398169533038"/>
          <c:y val="0.70922398511564866"/>
          <c:w val="0.78651249415740843"/>
          <c:h val="0.14131707664018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981074</xdr:colOff>
      <xdr:row>7</xdr:row>
      <xdr:rowOff>14287</xdr:rowOff>
    </xdr:from>
    <xdr:to>
      <xdr:col>4</xdr:col>
      <xdr:colOff>1209674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A0E19-D83A-AC18-44DF-C0F2A2FC3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AFBB-2093-49DA-ABC4-D7FCCAD6E994}">
  <dimension ref="A1:K19"/>
  <sheetViews>
    <sheetView tabSelected="1" workbookViewId="0">
      <selection activeCell="J16" sqref="J16"/>
    </sheetView>
  </sheetViews>
  <sheetFormatPr defaultRowHeight="15"/>
  <cols>
    <col min="1" max="1" width="52.5703125" bestFit="1" customWidth="1"/>
    <col min="2" max="2" width="16.42578125" bestFit="1" customWidth="1"/>
    <col min="3" max="3" width="18.28515625" bestFit="1" customWidth="1"/>
    <col min="4" max="4" width="13.5703125" bestFit="1" customWidth="1"/>
    <col min="5" max="5" width="18.140625" bestFit="1" customWidth="1"/>
    <col min="6" max="6" width="28.5703125" bestFit="1" customWidth="1"/>
    <col min="7" max="7" width="16.85546875" bestFit="1" customWidth="1"/>
    <col min="8" max="8" width="25.140625" bestFit="1" customWidth="1"/>
    <col min="9" max="9" width="24.42578125" bestFit="1" customWidth="1"/>
    <col min="10" max="10" width="29" bestFit="1" customWidth="1"/>
    <col min="11" max="11" width="35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15</v>
      </c>
    </row>
    <row r="2" spans="1:11">
      <c r="A2" t="s">
        <v>5</v>
      </c>
      <c r="B2">
        <v>1.5</v>
      </c>
      <c r="C2">
        <v>9</v>
      </c>
      <c r="D2">
        <v>6</v>
      </c>
      <c r="E2">
        <v>7</v>
      </c>
      <c r="F2">
        <v>8</v>
      </c>
      <c r="G2">
        <v>7</v>
      </c>
      <c r="H2">
        <v>5</v>
      </c>
      <c r="I2">
        <v>6</v>
      </c>
      <c r="J2">
        <v>9</v>
      </c>
      <c r="K2" s="1">
        <f>(B2+C2+E2+F2+G2+J2)/6*1.5*2 - (D2+H2+I2)/3*1.2*2</f>
        <v>7.15</v>
      </c>
    </row>
    <row r="3" spans="1:11">
      <c r="A3" t="s">
        <v>6</v>
      </c>
      <c r="B3">
        <v>2</v>
      </c>
      <c r="C3">
        <v>8</v>
      </c>
      <c r="D3">
        <v>5</v>
      </c>
      <c r="E3">
        <v>8</v>
      </c>
      <c r="F3">
        <v>9</v>
      </c>
      <c r="G3">
        <v>8</v>
      </c>
      <c r="H3">
        <v>6</v>
      </c>
      <c r="I3">
        <v>7</v>
      </c>
      <c r="J3">
        <v>8</v>
      </c>
      <c r="K3" s="1">
        <f t="shared" ref="K3:K6" si="0">(B3+C3+E3+F3+G3+J3)/6*1.5*2 - (D3+H3+I3)/3*1.2*2</f>
        <v>7.1000000000000014</v>
      </c>
    </row>
    <row r="4" spans="1:11">
      <c r="A4" t="s">
        <v>7</v>
      </c>
      <c r="B4">
        <v>1.8</v>
      </c>
      <c r="C4">
        <v>9</v>
      </c>
      <c r="D4">
        <v>5</v>
      </c>
      <c r="E4">
        <v>9</v>
      </c>
      <c r="F4">
        <v>10</v>
      </c>
      <c r="G4">
        <v>9</v>
      </c>
      <c r="H4">
        <v>4</v>
      </c>
      <c r="I4">
        <v>5</v>
      </c>
      <c r="J4">
        <v>7</v>
      </c>
      <c r="K4" s="1">
        <f t="shared" si="0"/>
        <v>11.699999999999998</v>
      </c>
    </row>
    <row r="5" spans="1:11">
      <c r="A5" t="s">
        <v>13</v>
      </c>
      <c r="B5">
        <v>1.8</v>
      </c>
      <c r="C5">
        <v>6</v>
      </c>
      <c r="D5">
        <v>10</v>
      </c>
      <c r="E5">
        <v>5</v>
      </c>
      <c r="F5">
        <v>7</v>
      </c>
      <c r="G5">
        <v>6</v>
      </c>
      <c r="H5">
        <v>9</v>
      </c>
      <c r="I5">
        <v>9</v>
      </c>
      <c r="J5">
        <v>10</v>
      </c>
      <c r="K5" s="1">
        <f t="shared" si="0"/>
        <v>-4.5000000000000036</v>
      </c>
    </row>
    <row r="6" spans="1:11">
      <c r="A6" t="s">
        <v>14</v>
      </c>
      <c r="B6">
        <v>2.5</v>
      </c>
      <c r="C6">
        <v>5</v>
      </c>
      <c r="D6">
        <v>9</v>
      </c>
      <c r="E6">
        <v>4</v>
      </c>
      <c r="F6">
        <v>3</v>
      </c>
      <c r="G6">
        <v>10</v>
      </c>
      <c r="H6">
        <v>8</v>
      </c>
      <c r="I6">
        <v>8</v>
      </c>
      <c r="J6">
        <v>6</v>
      </c>
      <c r="K6" s="1">
        <f t="shared" si="0"/>
        <v>-4.75</v>
      </c>
    </row>
    <row r="9" spans="1:11">
      <c r="K9" s="2" t="s">
        <v>16</v>
      </c>
    </row>
    <row r="10" spans="1:11">
      <c r="K10" t="str">
        <f>INDEX(A3:A7,MATCH(MAX(K3:K7),K3:K7,0))</f>
        <v>Lime Kiln Lighthouse (San Juan Island)</v>
      </c>
    </row>
    <row r="19" spans="11:11">
      <c r="K19" s="1"/>
    </row>
  </sheetData>
  <conditionalFormatting sqref="K12:K1048576 K1:K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xWindow="1626" yWindow="284" count="8">
    <dataValidation allowBlank="1" showInputMessage="1" showErrorMessage="1" prompt="$0.6M repairs" sqref="B2 B19 B4:B6" xr:uid="{87597740-BFCB-4863-A010-34FB11B49D6C}"/>
    <dataValidation allowBlank="1" showInputMessage="1" showErrorMessage="1" prompt="$1M+ exterior work" sqref="B3" xr:uid="{9D8452EA-002F-470B-B1EA-76EF1938E151}"/>
    <dataValidation allowBlank="1" showInputMessage="1" showErrorMessage="1" prompt="Seattle Parks owned" sqref="C2 C19 C4:C6" xr:uid="{A5A4597F-9111-49FA-B0F4-A23BEC4AEF2A}"/>
    <dataValidation allowBlank="1" showInputMessage="1" showErrorMessage="1" prompt="State Park zoning" sqref="C3" xr:uid="{06C47A7B-7992-4E40-95BB-50C2826F5B3F}"/>
    <dataValidation allowBlank="1" showInputMessage="1" showErrorMessage="1" prompt="urban access" sqref="F2 F19 F4:F6" xr:uid="{D0B32768-462C-4292-A9E2-DBC1E9247B43}"/>
    <dataValidation allowBlank="1" showInputMessage="1" showErrorMessage="1" prompt="Fort Casey tours" sqref="F3" xr:uid="{1BE3CD91-BCF6-4F66-B7E8-4939164014B2}"/>
    <dataValidation allowBlank="1" showInputMessage="1" showErrorMessage="1" prompt="1881 historic" sqref="J2 J19 J4:J6" xr:uid="{3C8B00E4-5080-4C82-85AB-53197EC5CEDB}"/>
    <dataValidation allowBlank="1" showInputMessage="1" showErrorMessage="1" prompt="1899, NHL status" sqref="J3" xr:uid="{E20EF391-12B3-4874-A4E5-70F5929C5237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Lighthouse Decision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Watts</dc:creator>
  <cp:lastModifiedBy>John Watts</cp:lastModifiedBy>
  <dcterms:created xsi:type="dcterms:W3CDTF">2026-02-23T14:41:47Z</dcterms:created>
  <dcterms:modified xsi:type="dcterms:W3CDTF">2026-02-24T15:23:21Z</dcterms:modified>
</cp:coreProperties>
</file>