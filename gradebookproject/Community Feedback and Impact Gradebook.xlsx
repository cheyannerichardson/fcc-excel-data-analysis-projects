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esktop\rhode\freeCodeCampEXCEL\Project2_Gradebook\"/>
    </mc:Choice>
  </mc:AlternateContent>
  <xr:revisionPtr revIDLastSave="0" documentId="13_ncr:1_{635A08DE-8DDD-4453-871A-AE3726586A17}" xr6:coauthVersionLast="47" xr6:coauthVersionMax="47" xr10:uidLastSave="{00000000-0000-0000-0000-000000000000}"/>
  <bookViews>
    <workbookView xWindow="2955" yWindow="1350" windowWidth="33240" windowHeight="15885" xr2:uid="{34259294-5C12-4B21-A099-97A8C650F262}"/>
  </bookViews>
  <sheets>
    <sheet name="Stanley Park Seaw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O3" i="1"/>
  <c r="O4" i="1"/>
  <c r="O5" i="1"/>
  <c r="O6" i="1"/>
  <c r="O7" i="1"/>
  <c r="O8" i="1"/>
  <c r="O2" i="1"/>
  <c r="N3" i="1"/>
  <c r="N4" i="1"/>
  <c r="N5" i="1"/>
  <c r="N6" i="1"/>
  <c r="N7" i="1"/>
  <c r="N8" i="1"/>
  <c r="N2" i="1"/>
  <c r="M20" i="1"/>
  <c r="M3" i="1"/>
  <c r="M4" i="1"/>
  <c r="M5" i="1"/>
  <c r="M6" i="1"/>
  <c r="M7" i="1"/>
  <c r="M8" i="1"/>
  <c r="M2" i="1"/>
</calcChain>
</file>

<file path=xl/sharedStrings.xml><?xml version="1.0" encoding="utf-8"?>
<sst xmlns="http://schemas.openxmlformats.org/spreadsheetml/2006/main" count="27" uniqueCount="26">
  <si>
    <t>Stanley Park Seawall Proposal</t>
  </si>
  <si>
    <t>Ecological Restoration</t>
  </si>
  <si>
    <t>Climate Resislance</t>
  </si>
  <si>
    <t>Intertidal Biodiversity</t>
  </si>
  <si>
    <t>Erosion Control</t>
  </si>
  <si>
    <t xml:space="preserve">Accessiblity </t>
  </si>
  <si>
    <t>Inclusivity</t>
  </si>
  <si>
    <t>Cultural Resosnance</t>
  </si>
  <si>
    <t>Vistor-Nature Expereinces</t>
  </si>
  <si>
    <t>Recreation vs. Disruption</t>
  </si>
  <si>
    <t>Traffic Flow</t>
  </si>
  <si>
    <t>Trail Integration</t>
  </si>
  <si>
    <t>Living Shoreline Reconnection</t>
  </si>
  <si>
    <t>Layered Mobility Path System</t>
  </si>
  <si>
    <t>Eco-Art Storyline Wall</t>
  </si>
  <si>
    <t>Tidal Amphitheatere and Learning Cove</t>
  </si>
  <si>
    <t>Adaptive Elevation Pathway</t>
  </si>
  <si>
    <t>Wildlife Passage and Observation Zone</t>
  </si>
  <si>
    <t>Heritage Continuity Loop</t>
  </si>
  <si>
    <t>Average Score</t>
  </si>
  <si>
    <t>Weighted Score</t>
  </si>
  <si>
    <t>Rank</t>
  </si>
  <si>
    <t>Project Impact Weights</t>
  </si>
  <si>
    <t>TOP RECOMMENDATIONS</t>
  </si>
  <si>
    <t>#1 Choice:</t>
  </si>
  <si>
    <t>#2 Choice: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</si>
</sst>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rgb="FFC5C8C6"/>
      <name val="Inherit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'Stanley Park Seawall'!$A$2</c:f>
              <c:strCache>
                <c:ptCount val="1"/>
                <c:pt idx="0">
                  <c:v>Living Shoreline Reconnection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Seawall'!$B$2:$L$2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8-4D4A-A930-61BF0AB41552}"/>
            </c:ext>
          </c:extLst>
        </c:ser>
        <c:ser>
          <c:idx val="1"/>
          <c:order val="1"/>
          <c:tx>
            <c:strRef>
              <c:f>'Stanley Park Seawall'!$A$3</c:f>
              <c:strCache>
                <c:ptCount val="1"/>
                <c:pt idx="0">
                  <c:v>Layered Mobility Path System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Seawall'!$B$3:$L$3</c:f>
              <c:numCache>
                <c:formatCode>General</c:formatCode>
                <c:ptCount val="11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48-4D4A-A930-61BF0AB41552}"/>
            </c:ext>
          </c:extLst>
        </c:ser>
        <c:ser>
          <c:idx val="2"/>
          <c:order val="2"/>
          <c:tx>
            <c:strRef>
              <c:f>'Stanley Park Seawall'!$A$4</c:f>
              <c:strCache>
                <c:ptCount val="1"/>
                <c:pt idx="0">
                  <c:v>Eco-Art Storyline Wall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Seawall'!$B$4:$L$4</c:f>
              <c:numCache>
                <c:formatCode>General</c:formatCode>
                <c:ptCount val="11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48-4D4A-A930-61BF0AB41552}"/>
            </c:ext>
          </c:extLst>
        </c:ser>
        <c:ser>
          <c:idx val="3"/>
          <c:order val="3"/>
          <c:tx>
            <c:strRef>
              <c:f>'Stanley Park Seawall'!$A$5</c:f>
              <c:strCache>
                <c:ptCount val="1"/>
                <c:pt idx="0">
                  <c:v>Tidal Amphitheatere and Learning Cove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Seawall'!$B$5:$L$5</c:f>
              <c:numCache>
                <c:formatCode>General</c:formatCode>
                <c:ptCount val="1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48-4D4A-A930-61BF0AB41552}"/>
            </c:ext>
          </c:extLst>
        </c:ser>
        <c:ser>
          <c:idx val="4"/>
          <c:order val="4"/>
          <c:tx>
            <c:strRef>
              <c:f>'Stanley Park Seawall'!$A$6</c:f>
              <c:strCache>
                <c:ptCount val="1"/>
                <c:pt idx="0">
                  <c:v>Adaptive Elevation Pathway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Seawall'!$B$6:$L$6</c:f>
              <c:numCache>
                <c:formatCode>General</c:formatCode>
                <c:ptCount val="11"/>
                <c:pt idx="0">
                  <c:v>5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48-4D4A-A930-61BF0AB41552}"/>
            </c:ext>
          </c:extLst>
        </c:ser>
        <c:ser>
          <c:idx val="5"/>
          <c:order val="5"/>
          <c:tx>
            <c:strRef>
              <c:f>'Stanley Park Seawall'!$A$7</c:f>
              <c:strCache>
                <c:ptCount val="1"/>
                <c:pt idx="0">
                  <c:v>Wildlife Passage and Observation Zone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Seawall'!$B$7:$L$7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48-4D4A-A930-61BF0AB41552}"/>
            </c:ext>
          </c:extLst>
        </c:ser>
        <c:ser>
          <c:idx val="6"/>
          <c:order val="6"/>
          <c:tx>
            <c:strRef>
              <c:f>'Stanley Park Seawall'!$A$8</c:f>
              <c:strCache>
                <c:ptCount val="1"/>
                <c:pt idx="0">
                  <c:v>Heritage Continuity Loop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'Stanley Park Seawall'!$B$1:$L$1</c:f>
              <c:strCache>
                <c:ptCount val="11"/>
                <c:pt idx="0">
                  <c:v>Ecological Restoration</c:v>
                </c:pt>
                <c:pt idx="1">
                  <c:v>Intertidal Biodiversity</c:v>
                </c:pt>
                <c:pt idx="2">
                  <c:v>Climate Resislance</c:v>
                </c:pt>
                <c:pt idx="3">
                  <c:v>Erosion Control</c:v>
                </c:pt>
                <c:pt idx="4">
                  <c:v>Accessiblity </c:v>
                </c:pt>
                <c:pt idx="5">
                  <c:v>Inclusivity</c:v>
                </c:pt>
                <c:pt idx="6">
                  <c:v>Cultural Resosnance</c:v>
                </c:pt>
                <c:pt idx="7">
                  <c:v>Vistor-Nature Expereinces</c:v>
                </c:pt>
                <c:pt idx="8">
                  <c:v>Recreation vs. Disruption</c:v>
                </c:pt>
                <c:pt idx="9">
                  <c:v>Traffic Flow</c:v>
                </c:pt>
                <c:pt idx="10">
                  <c:v>Trail Integration</c:v>
                </c:pt>
              </c:strCache>
            </c:strRef>
          </c:cat>
          <c:val>
            <c:numRef>
              <c:f>'Stanley Park Seawall'!$B$8:$L$8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48-4D4A-A930-61BF0AB41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5594720"/>
        <c:axId val="471098752"/>
      </c:barChart>
      <c:catAx>
        <c:axId val="120559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098752"/>
        <c:crosses val="autoZero"/>
        <c:auto val="1"/>
        <c:lblAlgn val="ctr"/>
        <c:lblOffset val="100"/>
        <c:noMultiLvlLbl val="0"/>
      </c:catAx>
      <c:valAx>
        <c:axId val="47109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59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935870516185477E-2"/>
          <c:y val="0.17171296296296298"/>
          <c:w val="0.90930796150481186"/>
          <c:h val="0.44347805482648001"/>
        </c:manualLayout>
      </c:layout>
      <c:barChart>
        <c:barDir val="bar"/>
        <c:grouping val="clustered"/>
        <c:varyColors val="0"/>
        <c:ser>
          <c:idx val="1"/>
          <c:order val="0"/>
          <c:tx>
            <c:v>Rank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'Stanley Park Seawall'!$A$2:$A$8</c:f>
              <c:strCache>
                <c:ptCount val="7"/>
                <c:pt idx="0">
                  <c:v>Living Shoreline Reconnection</c:v>
                </c:pt>
                <c:pt idx="1">
                  <c:v>Layered Mobility Path System</c:v>
                </c:pt>
                <c:pt idx="2">
                  <c:v>Eco-Art Storyline Wall</c:v>
                </c:pt>
                <c:pt idx="3">
                  <c:v>Tidal Amphitheatere and Learning Cove</c:v>
                </c:pt>
                <c:pt idx="4">
                  <c:v>Adaptive Elevation Pathway</c:v>
                </c:pt>
                <c:pt idx="5">
                  <c:v>Wildlife Passage and Observation Zone</c:v>
                </c:pt>
                <c:pt idx="6">
                  <c:v>Heritage Continuity Loop</c:v>
                </c:pt>
              </c:strCache>
            </c:strRef>
          </c:cat>
          <c:val>
            <c:numRef>
              <c:f>'Stanley Park Seawall'!$O$2:$O$8</c:f>
              <c:numCache>
                <c:formatCode>General</c:formatCode>
                <c:ptCount val="7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7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E-402C-9E86-DC07BA72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0188720"/>
        <c:axId val="470190160"/>
      </c:barChart>
      <c:catAx>
        <c:axId val="470188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190160"/>
        <c:crosses val="autoZero"/>
        <c:auto val="1"/>
        <c:lblAlgn val="ctr"/>
        <c:lblOffset val="100"/>
        <c:noMultiLvlLbl val="0"/>
      </c:catAx>
      <c:valAx>
        <c:axId val="47019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18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1038224</xdr:colOff>
      <xdr:row>22</xdr:row>
      <xdr:rowOff>4761</xdr:rowOff>
    </xdr:from>
    <xdr:to>
      <xdr:col>6</xdr:col>
      <xdr:colOff>523875</xdr:colOff>
      <xdr:row>46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602666-C25A-36AC-7356-1BAC297A82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314324</xdr:colOff>
      <xdr:row>26</xdr:row>
      <xdr:rowOff>57150</xdr:rowOff>
    </xdr:from>
    <xdr:to>
      <xdr:col>14</xdr:col>
      <xdr:colOff>28575</xdr:colOff>
      <xdr:row>44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05141E-D449-0F8A-8CC2-792BF3D55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21E1E-DEED-4B64-BFC1-D5768E546D4A}">
  <dimension ref="A1:O20"/>
  <sheetViews>
    <sheetView tabSelected="1" workbookViewId="0">
      <selection activeCell="P29" sqref="P29"/>
    </sheetView>
  </sheetViews>
  <sheetFormatPr defaultRowHeight="15"/>
  <cols>
    <col min="1" max="1" width="36.140625" bestFit="1" customWidth="1"/>
    <col min="2" max="2" width="21" bestFit="1" customWidth="1"/>
    <col min="3" max="3" width="19.85546875" bestFit="1" customWidth="1"/>
    <col min="4" max="4" width="18" bestFit="1" customWidth="1"/>
    <col min="5" max="5" width="14.7109375" bestFit="1" customWidth="1"/>
    <col min="6" max="6" width="11.85546875" bestFit="1" customWidth="1"/>
    <col min="7" max="7" width="9.85546875" bestFit="1" customWidth="1"/>
    <col min="8" max="8" width="19.42578125" bestFit="1" customWidth="1"/>
    <col min="9" max="9" width="24.140625" bestFit="1" customWidth="1"/>
    <col min="10" max="10" width="23.42578125" bestFit="1" customWidth="1"/>
    <col min="11" max="11" width="11.140625" bestFit="1" customWidth="1"/>
    <col min="12" max="12" width="15.140625" bestFit="1" customWidth="1"/>
    <col min="13" max="13" width="13.28515625" bestFit="1" customWidth="1"/>
    <col min="14" max="14" width="14.5703125" bestFit="1" customWidth="1"/>
    <col min="15" max="15" width="5.42578125" bestFit="1" customWidth="1"/>
  </cols>
  <sheetData>
    <row r="1" spans="1:1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19</v>
      </c>
      <c r="N1" t="s">
        <v>20</v>
      </c>
      <c r="O1" t="s">
        <v>21</v>
      </c>
    </row>
    <row r="2" spans="1:15">
      <c r="A2" t="s">
        <v>12</v>
      </c>
      <c r="B2">
        <v>5</v>
      </c>
      <c r="C2">
        <v>5</v>
      </c>
      <c r="D2">
        <v>4</v>
      </c>
      <c r="E2">
        <v>5</v>
      </c>
      <c r="F2">
        <v>3</v>
      </c>
      <c r="G2">
        <v>4</v>
      </c>
      <c r="H2">
        <v>4</v>
      </c>
      <c r="I2">
        <v>5</v>
      </c>
      <c r="J2">
        <v>4</v>
      </c>
      <c r="K2">
        <v>3</v>
      </c>
      <c r="L2">
        <v>4</v>
      </c>
      <c r="M2">
        <f>AVERAGE(B2:L2)</f>
        <v>4.1818181818181817</v>
      </c>
      <c r="N2">
        <f>SUMPRODUCT(B2:L2,$B$20:$L$20)</f>
        <v>4.3000000000000007</v>
      </c>
      <c r="O2">
        <f>IFERROR(RANK(N2,$N$2:$N$8,0),"Check Data")</f>
        <v>1</v>
      </c>
    </row>
    <row r="3" spans="1:15">
      <c r="A3" t="s">
        <v>13</v>
      </c>
      <c r="B3">
        <v>4</v>
      </c>
      <c r="C3">
        <v>3</v>
      </c>
      <c r="D3">
        <v>3</v>
      </c>
      <c r="E3">
        <v>4</v>
      </c>
      <c r="F3">
        <v>5</v>
      </c>
      <c r="G3">
        <v>5</v>
      </c>
      <c r="H3">
        <v>3</v>
      </c>
      <c r="I3">
        <v>4</v>
      </c>
      <c r="J3">
        <v>4</v>
      </c>
      <c r="K3">
        <v>5</v>
      </c>
      <c r="L3">
        <v>5</v>
      </c>
      <c r="M3">
        <f t="shared" ref="M3:M8" si="0">AVERAGE(B3:L3)</f>
        <v>4.0909090909090908</v>
      </c>
      <c r="N3">
        <f t="shared" ref="N3:N8" si="1">SUMPRODUCT(B3:L3,$B$20:$L$20)</f>
        <v>4</v>
      </c>
      <c r="O3">
        <f t="shared" ref="O3:O8" si="2">IFERROR(RANK(N3,$N$2:$N$8,0),"Check Data")</f>
        <v>4</v>
      </c>
    </row>
    <row r="4" spans="1:15">
      <c r="A4" t="s">
        <v>14</v>
      </c>
      <c r="B4">
        <v>4</v>
      </c>
      <c r="C4">
        <v>4</v>
      </c>
      <c r="D4">
        <v>3</v>
      </c>
      <c r="E4">
        <v>3</v>
      </c>
      <c r="F4">
        <v>4</v>
      </c>
      <c r="G4">
        <v>5</v>
      </c>
      <c r="H4">
        <v>5</v>
      </c>
      <c r="I4">
        <v>5</v>
      </c>
      <c r="J4">
        <v>4</v>
      </c>
      <c r="K4">
        <v>3</v>
      </c>
      <c r="L4">
        <v>4</v>
      </c>
      <c r="M4">
        <f t="shared" si="0"/>
        <v>4</v>
      </c>
      <c r="N4">
        <f t="shared" si="1"/>
        <v>4.05</v>
      </c>
      <c r="O4">
        <f t="shared" si="2"/>
        <v>3</v>
      </c>
    </row>
    <row r="5" spans="1:15">
      <c r="A5" t="s">
        <v>15</v>
      </c>
      <c r="B5">
        <v>4</v>
      </c>
      <c r="C5">
        <v>4</v>
      </c>
      <c r="D5">
        <v>4</v>
      </c>
      <c r="E5">
        <v>4</v>
      </c>
      <c r="F5">
        <v>4</v>
      </c>
      <c r="G5">
        <v>4</v>
      </c>
      <c r="H5">
        <v>4</v>
      </c>
      <c r="I5">
        <v>5</v>
      </c>
      <c r="J5">
        <v>4</v>
      </c>
      <c r="K5">
        <v>4</v>
      </c>
      <c r="L5">
        <v>4</v>
      </c>
      <c r="M5">
        <f t="shared" si="0"/>
        <v>4.0909090909090908</v>
      </c>
      <c r="N5">
        <f t="shared" si="1"/>
        <v>4.0999999999999996</v>
      </c>
      <c r="O5">
        <f t="shared" si="2"/>
        <v>2</v>
      </c>
    </row>
    <row r="6" spans="1:15">
      <c r="A6" t="s">
        <v>16</v>
      </c>
      <c r="B6">
        <v>5</v>
      </c>
      <c r="C6">
        <v>4</v>
      </c>
      <c r="D6">
        <v>5</v>
      </c>
      <c r="E6">
        <v>5</v>
      </c>
      <c r="F6">
        <v>3</v>
      </c>
      <c r="G6">
        <v>3</v>
      </c>
      <c r="H6">
        <v>3</v>
      </c>
      <c r="I6">
        <v>4</v>
      </c>
      <c r="J6">
        <v>4</v>
      </c>
      <c r="K6">
        <v>3</v>
      </c>
      <c r="L6">
        <v>4</v>
      </c>
      <c r="M6">
        <f t="shared" si="0"/>
        <v>3.9090909090909092</v>
      </c>
      <c r="N6">
        <f t="shared" si="1"/>
        <v>4</v>
      </c>
      <c r="O6">
        <f t="shared" si="2"/>
        <v>4</v>
      </c>
    </row>
    <row r="7" spans="1:15">
      <c r="A7" t="s">
        <v>17</v>
      </c>
      <c r="B7">
        <v>5</v>
      </c>
      <c r="C7">
        <v>5</v>
      </c>
      <c r="D7">
        <v>4</v>
      </c>
      <c r="E7">
        <v>5</v>
      </c>
      <c r="F7">
        <v>2</v>
      </c>
      <c r="G7">
        <v>3</v>
      </c>
      <c r="H7">
        <v>3</v>
      </c>
      <c r="I7">
        <v>4</v>
      </c>
      <c r="J7">
        <v>3</v>
      </c>
      <c r="K7">
        <v>2</v>
      </c>
      <c r="L7">
        <v>3</v>
      </c>
      <c r="M7">
        <f t="shared" si="0"/>
        <v>3.5454545454545454</v>
      </c>
      <c r="N7">
        <f t="shared" si="1"/>
        <v>3.75</v>
      </c>
      <c r="O7">
        <f t="shared" si="2"/>
        <v>7</v>
      </c>
    </row>
    <row r="8" spans="1:15">
      <c r="A8" t="s">
        <v>18</v>
      </c>
      <c r="B8">
        <v>3</v>
      </c>
      <c r="C8">
        <v>3</v>
      </c>
      <c r="D8">
        <v>3</v>
      </c>
      <c r="E8">
        <v>4</v>
      </c>
      <c r="F8">
        <v>4</v>
      </c>
      <c r="G8">
        <v>4</v>
      </c>
      <c r="H8">
        <v>5</v>
      </c>
      <c r="I8">
        <v>4</v>
      </c>
      <c r="J8">
        <v>4</v>
      </c>
      <c r="K8">
        <v>5</v>
      </c>
      <c r="L8">
        <v>5</v>
      </c>
      <c r="M8">
        <f t="shared" si="0"/>
        <v>4</v>
      </c>
      <c r="N8">
        <f t="shared" si="1"/>
        <v>3.85</v>
      </c>
      <c r="O8">
        <f t="shared" si="2"/>
        <v>6</v>
      </c>
    </row>
    <row r="12" spans="1:15" ht="18.75">
      <c r="A12" s="2" t="s">
        <v>23</v>
      </c>
    </row>
    <row r="13" spans="1:15">
      <c r="A13" t="s">
        <v>24</v>
      </c>
      <c r="B13" t="str">
        <f>INDEX(A$2:A$8,MATCH(1,O$2:O$8,0))</f>
        <v>Living Shoreline Reconnection</v>
      </c>
    </row>
    <row r="14" spans="1:15">
      <c r="A14" t="s">
        <v>20</v>
      </c>
      <c r="B14">
        <f>INDEX(N$2:N$8,MATCH(1,O$2:O$8,0))</f>
        <v>4.3000000000000007</v>
      </c>
    </row>
    <row r="15" spans="1:15">
      <c r="A15" t="s">
        <v>25</v>
      </c>
      <c r="B15" t="str">
        <f>INDEX(A$2:A$8,MATCH(2,O$2:O$8,0))</f>
        <v>Tidal Amphitheatere and Learning Cove</v>
      </c>
    </row>
    <row r="20" spans="1:13">
      <c r="A20" s="1" t="s">
        <v>22</v>
      </c>
      <c r="B20">
        <v>0.15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0.05</v>
      </c>
      <c r="K20">
        <v>0.05</v>
      </c>
      <c r="L20">
        <v>0.05</v>
      </c>
      <c r="M20">
        <f>SUM(B20:L20)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Stanley Park Seawall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Watts</dc:creator>
  <cp:lastModifiedBy>John Watts</cp:lastModifiedBy>
  <dcterms:created xsi:type="dcterms:W3CDTF">2026-02-23T13:10:25Z</dcterms:created>
  <dcterms:modified xsi:type="dcterms:W3CDTF">2026-02-24T16:04:44Z</dcterms:modified>
</cp:coreProperties>
</file>