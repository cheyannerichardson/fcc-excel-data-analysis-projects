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rhode\freeCodeCampEXCEL\Project2_Gradebook\"/>
    </mc:Choice>
  </mc:AlternateContent>
  <xr:revisionPtr revIDLastSave="0" documentId="13_ncr:1_{5EE844F6-0313-4B48-9EFA-41EF936F136C}" xr6:coauthVersionLast="47" xr6:coauthVersionMax="47" xr10:uidLastSave="{00000000-0000-0000-0000-000000000000}"/>
  <bookViews>
    <workbookView xWindow="-31800" yWindow="1605" windowWidth="25170" windowHeight="15885" xr2:uid="{34259294-5C12-4B21-A099-97A8C650F262}"/>
  </bookViews>
  <sheets>
    <sheet name="Stanley Park Seaw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O6" i="1" s="1"/>
  <c r="N8" i="1"/>
  <c r="O5" i="1" s="1"/>
  <c r="N2" i="1"/>
  <c r="M20" i="1"/>
  <c r="M3" i="1"/>
  <c r="M4" i="1"/>
  <c r="M5" i="1"/>
  <c r="M6" i="1"/>
  <c r="M7" i="1"/>
  <c r="M8" i="1"/>
  <c r="M2" i="1"/>
  <c r="O4" i="1" l="1"/>
  <c r="O3" i="1"/>
  <c r="O7" i="1"/>
  <c r="O2" i="1"/>
  <c r="O8" i="1"/>
</calcChain>
</file>

<file path=xl/sharedStrings.xml><?xml version="1.0" encoding="utf-8"?>
<sst xmlns="http://schemas.openxmlformats.org/spreadsheetml/2006/main" count="23" uniqueCount="23">
  <si>
    <t>Stanley Park Seawall Proposal</t>
  </si>
  <si>
    <t>Ecological Restoration</t>
  </si>
  <si>
    <t>Climate Resislance</t>
  </si>
  <si>
    <t>Intertidal Biodiversity</t>
  </si>
  <si>
    <t>Erosion Control</t>
  </si>
  <si>
    <t xml:space="preserve">Accessiblity </t>
  </si>
  <si>
    <t>Inclusivity</t>
  </si>
  <si>
    <t>Cultural Resosnance</t>
  </si>
  <si>
    <t>Vistor-Nature Expereinces</t>
  </si>
  <si>
    <t>Recreation vs. Disruption</t>
  </si>
  <si>
    <t>Traffic Flow</t>
  </si>
  <si>
    <t>Trail Integration</t>
  </si>
  <si>
    <t>Living Shoreline Reconnection</t>
  </si>
  <si>
    <t>Layered Mobility Path System</t>
  </si>
  <si>
    <t>Eco-Art Storyline Wall</t>
  </si>
  <si>
    <t>Tidal Amphitheatere and Learning Cove</t>
  </si>
  <si>
    <t>Adaptive Elevation Pathway</t>
  </si>
  <si>
    <t>Wildlife Passage and Observation Zone</t>
  </si>
  <si>
    <t>Heritage Continuity Loop</t>
  </si>
  <si>
    <t>Average Score</t>
  </si>
  <si>
    <t>Weighted Score</t>
  </si>
  <si>
    <t>Rank</t>
  </si>
  <si>
    <t>Project Impact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</si>
</sst>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C5C8C6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1E1E-DEED-4B64-BFC1-D5768E546D4A}">
  <dimension ref="A1:O20"/>
  <sheetViews>
    <sheetView tabSelected="1" workbookViewId="0">
      <selection activeCell="A24" sqref="A24"/>
    </sheetView>
  </sheetViews>
  <sheetFormatPr defaultRowHeight="15"/>
  <cols>
    <col min="1" max="1" width="36.140625" bestFit="1" customWidth="1"/>
    <col min="2" max="2" width="21" bestFit="1" customWidth="1"/>
    <col min="3" max="3" width="19.85546875" bestFit="1" customWidth="1"/>
    <col min="4" max="4" width="18" bestFit="1" customWidth="1"/>
    <col min="5" max="5" width="14.7109375" bestFit="1" customWidth="1"/>
    <col min="6" max="6" width="11.85546875" bestFit="1" customWidth="1"/>
    <col min="7" max="7" width="9.85546875" bestFit="1" customWidth="1"/>
    <col min="8" max="8" width="19.42578125" bestFit="1" customWidth="1"/>
    <col min="9" max="9" width="24.140625" bestFit="1" customWidth="1"/>
    <col min="10" max="10" width="23.42578125" bestFit="1" customWidth="1"/>
    <col min="11" max="11" width="11.140625" bestFit="1" customWidth="1"/>
    <col min="12" max="12" width="15.140625" bestFit="1" customWidth="1"/>
    <col min="13" max="13" width="13.28515625" bestFit="1" customWidth="1"/>
    <col min="14" max="14" width="14.5703125" style="1" bestFit="1" customWidth="1"/>
    <col min="15" max="15" width="5.42578125" bestFit="1" customWidth="1"/>
  </cols>
  <sheetData>
    <row r="1" spans="1:1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</v>
      </c>
      <c r="N1" s="1" t="s">
        <v>20</v>
      </c>
      <c r="O1" t="s">
        <v>21</v>
      </c>
    </row>
    <row r="2" spans="1:15">
      <c r="A2" t="s">
        <v>12</v>
      </c>
      <c r="B2">
        <v>5</v>
      </c>
      <c r="C2">
        <v>5</v>
      </c>
      <c r="D2">
        <v>4</v>
      </c>
      <c r="E2">
        <v>5</v>
      </c>
      <c r="F2">
        <v>3</v>
      </c>
      <c r="G2">
        <v>4</v>
      </c>
      <c r="H2">
        <v>4</v>
      </c>
      <c r="I2">
        <v>5</v>
      </c>
      <c r="J2">
        <v>4</v>
      </c>
      <c r="K2">
        <v>3</v>
      </c>
      <c r="L2">
        <v>4</v>
      </c>
      <c r="M2">
        <f>AVERAGE(B2:L2)</f>
        <v>4.1818181818181817</v>
      </c>
      <c r="N2" s="1">
        <f>SUMPRODUCT(B2:L2,$B$20:$L$20)</f>
        <v>4.3000000000000007</v>
      </c>
      <c r="O2">
        <f>IFERROR(RANK(N3,$N$3:$N$9,0)+COUNTIF($N$3:N3,N3)-1, "Check Data")</f>
        <v>3</v>
      </c>
    </row>
    <row r="3" spans="1:15">
      <c r="A3" t="s">
        <v>13</v>
      </c>
      <c r="B3">
        <v>4</v>
      </c>
      <c r="C3">
        <v>3</v>
      </c>
      <c r="D3">
        <v>3</v>
      </c>
      <c r="E3">
        <v>4</v>
      </c>
      <c r="F3">
        <v>5</v>
      </c>
      <c r="G3">
        <v>5</v>
      </c>
      <c r="H3">
        <v>3</v>
      </c>
      <c r="I3">
        <v>4</v>
      </c>
      <c r="J3">
        <v>4</v>
      </c>
      <c r="K3">
        <v>5</v>
      </c>
      <c r="L3">
        <v>5</v>
      </c>
      <c r="M3">
        <f t="shared" ref="M3:M8" si="0">AVERAGE(B3:L3)</f>
        <v>4.0909090909090908</v>
      </c>
      <c r="N3" s="1">
        <f t="shared" ref="N3:N8" si="1">SUMPRODUCT(B3:L3,$B$20:$L$20)</f>
        <v>4</v>
      </c>
      <c r="O3">
        <f>IFERROR(RANK(N4,$N$3:$N$9,0)+COUNTIF($N$3:N4,N4)-1, "Check Data")</f>
        <v>2</v>
      </c>
    </row>
    <row r="4" spans="1:15">
      <c r="A4" t="s">
        <v>14</v>
      </c>
      <c r="B4">
        <v>4</v>
      </c>
      <c r="C4">
        <v>4</v>
      </c>
      <c r="D4">
        <v>3</v>
      </c>
      <c r="E4">
        <v>3</v>
      </c>
      <c r="F4">
        <v>4</v>
      </c>
      <c r="G4">
        <v>5</v>
      </c>
      <c r="H4">
        <v>5</v>
      </c>
      <c r="I4">
        <v>5</v>
      </c>
      <c r="J4">
        <v>4</v>
      </c>
      <c r="K4">
        <v>3</v>
      </c>
      <c r="L4">
        <v>4</v>
      </c>
      <c r="M4">
        <f t="shared" si="0"/>
        <v>4</v>
      </c>
      <c r="N4" s="1">
        <f t="shared" si="1"/>
        <v>4.05</v>
      </c>
      <c r="O4">
        <f>IFERROR(RANK(N5,$N$3:$N$9,0)+COUNTIF($N$3:N5,N5)-1, "Check Data")</f>
        <v>1</v>
      </c>
    </row>
    <row r="5" spans="1:15">
      <c r="A5" t="s">
        <v>15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5</v>
      </c>
      <c r="J5">
        <v>4</v>
      </c>
      <c r="K5">
        <v>4</v>
      </c>
      <c r="L5">
        <v>4</v>
      </c>
      <c r="M5">
        <f t="shared" si="0"/>
        <v>4.0909090909090908</v>
      </c>
      <c r="N5" s="1">
        <f t="shared" si="1"/>
        <v>4.0999999999999996</v>
      </c>
      <c r="O5">
        <f>IFERROR(RANK(N6,$N$3:$N$9,0)+COUNTIF($N$3:N6,N6)-1, "Check Data")</f>
        <v>4</v>
      </c>
    </row>
    <row r="6" spans="1:15">
      <c r="A6" t="s">
        <v>16</v>
      </c>
      <c r="B6">
        <v>5</v>
      </c>
      <c r="C6">
        <v>4</v>
      </c>
      <c r="D6">
        <v>5</v>
      </c>
      <c r="E6">
        <v>5</v>
      </c>
      <c r="F6">
        <v>3</v>
      </c>
      <c r="G6">
        <v>3</v>
      </c>
      <c r="H6">
        <v>3</v>
      </c>
      <c r="I6">
        <v>4</v>
      </c>
      <c r="J6">
        <v>4</v>
      </c>
      <c r="K6">
        <v>3</v>
      </c>
      <c r="L6">
        <v>4</v>
      </c>
      <c r="M6">
        <f t="shared" si="0"/>
        <v>3.9090909090909092</v>
      </c>
      <c r="N6" s="1">
        <f t="shared" si="1"/>
        <v>4</v>
      </c>
      <c r="O6">
        <f>IFERROR(RANK(N7,$N$3:$N$9,0)+COUNTIF($N$3:N7,N7)-1, "Check Data")</f>
        <v>6</v>
      </c>
    </row>
    <row r="7" spans="1:15">
      <c r="A7" t="s">
        <v>17</v>
      </c>
      <c r="B7">
        <v>5</v>
      </c>
      <c r="C7">
        <v>5</v>
      </c>
      <c r="D7">
        <v>4</v>
      </c>
      <c r="E7">
        <v>5</v>
      </c>
      <c r="F7">
        <v>2</v>
      </c>
      <c r="G7">
        <v>3</v>
      </c>
      <c r="H7">
        <v>3</v>
      </c>
      <c r="I7">
        <v>4</v>
      </c>
      <c r="J7">
        <v>3</v>
      </c>
      <c r="K7">
        <v>2</v>
      </c>
      <c r="L7">
        <v>3</v>
      </c>
      <c r="M7">
        <f t="shared" si="0"/>
        <v>3.5454545454545454</v>
      </c>
      <c r="N7" s="1">
        <f t="shared" si="1"/>
        <v>3.75</v>
      </c>
      <c r="O7">
        <f>IFERROR(RANK(N8,$N$3:$N$9,0)+COUNTIF($N$3:N8,N8)-1, "Check Data")</f>
        <v>5</v>
      </c>
    </row>
    <row r="8" spans="1:15">
      <c r="A8" t="s">
        <v>18</v>
      </c>
      <c r="B8">
        <v>3</v>
      </c>
      <c r="C8">
        <v>3</v>
      </c>
      <c r="D8">
        <v>3</v>
      </c>
      <c r="E8">
        <v>4</v>
      </c>
      <c r="F8">
        <v>4</v>
      </c>
      <c r="G8">
        <v>4</v>
      </c>
      <c r="H8">
        <v>5</v>
      </c>
      <c r="I8">
        <v>4</v>
      </c>
      <c r="J8">
        <v>4</v>
      </c>
      <c r="K8">
        <v>5</v>
      </c>
      <c r="L8">
        <v>5</v>
      </c>
      <c r="M8">
        <f t="shared" si="0"/>
        <v>4</v>
      </c>
      <c r="N8" s="1">
        <f t="shared" si="1"/>
        <v>3.85</v>
      </c>
      <c r="O8" t="str">
        <f>IFERROR(RANK(N9,$N$3:$N$9,0)+COUNTIF($N$3:N9,N9)-1, "Check Data")</f>
        <v>Check Data</v>
      </c>
    </row>
    <row r="20" spans="1:13">
      <c r="A20" s="2" t="s">
        <v>22</v>
      </c>
      <c r="B20">
        <v>0.15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0.05</v>
      </c>
      <c r="K20">
        <v>0.05</v>
      </c>
      <c r="L20">
        <v>0.05</v>
      </c>
      <c r="M20">
        <f>SUM(B20:L20)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Stanley Park Seawall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Watts</dc:creator>
  <cp:lastModifiedBy>John Watts</cp:lastModifiedBy>
  <dcterms:created xsi:type="dcterms:W3CDTF">2026-02-23T13:10:25Z</dcterms:created>
  <dcterms:modified xsi:type="dcterms:W3CDTF">2026-02-23T14:23:51Z</dcterms:modified>
</cp:coreProperties>
</file>