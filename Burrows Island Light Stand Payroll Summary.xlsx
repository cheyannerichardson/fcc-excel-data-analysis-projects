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esktop\rhode\freeCodeCampEXCEL\Project1_PayRoll\"/>
    </mc:Choice>
  </mc:AlternateContent>
  <xr:revisionPtr revIDLastSave="0" documentId="8_{7CA84DCF-E4D3-4AA7-9052-E7126091FA39}" xr6:coauthVersionLast="47" xr6:coauthVersionMax="47" xr10:uidLastSave="{00000000-0000-0000-0000-000000000000}"/>
  <bookViews>
    <workbookView xWindow="4080" yWindow="1185" windowWidth="17220" windowHeight="15885" activeTab="3" xr2:uid="{16B32D2A-CF89-4898-B345-BCF024652B2C}"/>
  </bookViews>
  <sheets>
    <sheet name="Contractors" sheetId="1" r:id="rId1"/>
    <sheet name="Expenses" sheetId="2" r:id="rId2"/>
    <sheet name="Data Input" sheetId="4" r:id="rId3"/>
    <sheet name="Summa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3" i="3"/>
  <c r="A8" i="3" a="1"/>
  <c r="A8" i="3" s="1"/>
  <c r="B8" i="3" s="1"/>
  <c r="D8" i="3" s="1"/>
  <c r="B5" i="3"/>
  <c r="B4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C8" i="3" l="1"/>
  <c r="B10" i="3"/>
  <c r="B9" i="3"/>
  <c r="D9" i="3" l="1"/>
  <c r="C9" i="3"/>
  <c r="D10" i="3"/>
  <c r="C1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<sst xmlns="http://schemas.openxmlformats.org/spreadsheetml/2006/main" count="155" uniqueCount="86">
  <si>
    <t>Contractor Name</t>
  </si>
  <si>
    <t>Specility</t>
  </si>
  <si>
    <t>Hourly Rate</t>
  </si>
  <si>
    <t>Contact Email</t>
  </si>
  <si>
    <t>Total Hours Billed</t>
  </si>
  <si>
    <t>Barnet Roofing</t>
  </si>
  <si>
    <t>contanct@roof.com</t>
  </si>
  <si>
    <t>Coast Guard Cleanup</t>
  </si>
  <si>
    <t>contracts@uscg.mil</t>
  </si>
  <si>
    <t>Salish Sea Volunteers</t>
  </si>
  <si>
    <t>volunteers@salishsea.org</t>
  </si>
  <si>
    <t>NWSS Preservation</t>
  </si>
  <si>
    <t>nwss@burrowslighthouse.com</t>
  </si>
  <si>
    <t>Dan Call Leads</t>
  </si>
  <si>
    <t>dan@nwschooner.org</t>
  </si>
  <si>
    <t>Island Marine Service</t>
  </si>
  <si>
    <t>boats@islandmarine.net</t>
  </si>
  <si>
    <t>Puget Sound Electric</t>
  </si>
  <si>
    <t>wiring@pugetsoundelec.com</t>
  </si>
  <si>
    <t>Heritage Historians</t>
  </si>
  <si>
    <t>reports@heritagewa.org</t>
  </si>
  <si>
    <t>roofer</t>
  </si>
  <si>
    <t>cleanup specilist</t>
  </si>
  <si>
    <t>trailer worker</t>
  </si>
  <si>
    <t>historic preservation specialist</t>
  </si>
  <si>
    <t>project coordinator</t>
  </si>
  <si>
    <t>electrician</t>
  </si>
  <si>
    <t>architectural historian</t>
  </si>
  <si>
    <t>marine transporter</t>
  </si>
  <si>
    <t>Date</t>
  </si>
  <si>
    <t>Phase</t>
  </si>
  <si>
    <t>Site Area</t>
  </si>
  <si>
    <t>Material Type</t>
  </si>
  <si>
    <t>Contractor</t>
  </si>
  <si>
    <t>Hours Worked</t>
  </si>
  <si>
    <t>Cost</t>
  </si>
  <si>
    <t>Notes</t>
  </si>
  <si>
    <t>Preservation</t>
  </si>
  <si>
    <t>Keepers Quarters</t>
  </si>
  <si>
    <t>Timber</t>
  </si>
  <si>
    <t>Roof timber replacement post-storm</t>
  </si>
  <si>
    <t>Cleanup</t>
  </si>
  <si>
    <t>Lighthouse Tower</t>
  </si>
  <si>
    <t>Paint Removal</t>
  </si>
  <si>
    <t>Lead paint soil excavation</t>
  </si>
  <si>
    <t>Assessment</t>
  </si>
  <si>
    <t>Boathouse</t>
  </si>
  <si>
    <t>Stone</t>
  </si>
  <si>
    <t>1906 foundation survey</t>
  </si>
  <si>
    <t>Volunteer porch stair repairs</t>
  </si>
  <si>
    <t>Window framing restoration</t>
  </si>
  <si>
    <t>Logistics</t>
  </si>
  <si>
    <t>Island Access</t>
  </si>
  <si>
    <t>N/A</t>
  </si>
  <si>
    <t>Tool/supply boat transport</t>
  </si>
  <si>
    <t>Trail Path</t>
  </si>
  <si>
    <t>Debris</t>
  </si>
  <si>
    <t>Overgrown trail clearing</t>
  </si>
  <si>
    <t>Paintf</t>
  </si>
  <si>
    <t>Interpretive wiring prep</t>
  </si>
  <si>
    <t>Ladder and support beam fixes</t>
  </si>
  <si>
    <t>North window roof flashing</t>
  </si>
  <si>
    <t>Woodwork surface washing</t>
  </si>
  <si>
    <t>Island Wide</t>
  </si>
  <si>
    <t>NA</t>
  </si>
  <si>
    <t>NHLPA compliance review</t>
  </si>
  <si>
    <t>Volunteer ferry team</t>
  </si>
  <si>
    <t>Exterior lighting conduits</t>
  </si>
  <si>
    <t xml:space="preserve">Debris </t>
  </si>
  <si>
    <t>Path maintenance for access</t>
  </si>
  <si>
    <t xml:space="preserve">Interior woodwork refinishing </t>
  </si>
  <si>
    <t>Artifact and structural report</t>
  </si>
  <si>
    <t>Paint</t>
  </si>
  <si>
    <t>Final paint removal verification</t>
  </si>
  <si>
    <t xml:space="preserve">Equipment return transport </t>
  </si>
  <si>
    <t>Job Type</t>
  </si>
  <si>
    <t>Note</t>
  </si>
  <si>
    <t>Total Hours</t>
  </si>
  <si>
    <t>Total Payroll</t>
  </si>
  <si>
    <t>Restoration</t>
  </si>
  <si>
    <t>Avg Hours/Job</t>
  </si>
  <si>
    <t>Burrows Island Light Stand Payroll Summary</t>
  </si>
  <si>
    <t>Avg Rate</t>
  </si>
  <si>
    <t>Total Expenses</t>
  </si>
  <si>
    <t xml:space="preserve"> Hours</t>
  </si>
  <si>
    <t xml:space="preserve">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</si>
</sst>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  <numFmt numFmtId="167" formatCode="yyyy\-mm\-dd;@"/>
    <numFmt numFmtId="168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1" applyNumberFormat="1" applyFont="1"/>
    <xf numFmtId="0" fontId="3" fillId="0" borderId="0" xfId="2"/>
    <xf numFmtId="0" fontId="4" fillId="0" borderId="0" xfId="0" applyFont="1" applyAlignment="1">
      <alignment horizontal="center"/>
    </xf>
    <xf numFmtId="14" fontId="0" fillId="0" borderId="0" xfId="0" applyNumberFormat="1"/>
    <xf numFmtId="6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167" fontId="2" fillId="0" borderId="0" xfId="0" applyNumberFormat="1" applyFont="1" applyBorder="1" applyAlignment="1" applyProtection="1">
      <alignment horizontal="center"/>
      <protection locked="0"/>
    </xf>
    <xf numFmtId="164" fontId="0" fillId="0" borderId="0" xfId="0" applyNumberFormat="1" applyBorder="1" applyProtection="1">
      <protection locked="0"/>
    </xf>
    <xf numFmtId="0" fontId="0" fillId="0" borderId="0" xfId="0" quotePrefix="1"/>
    <xf numFmtId="167" fontId="0" fillId="0" borderId="0" xfId="0" applyNumberFormat="1" applyFont="1" applyBorder="1" applyAlignment="1" applyProtection="1">
      <alignment horizontal="center"/>
      <protection locked="0"/>
    </xf>
    <xf numFmtId="167" fontId="0" fillId="0" borderId="0" xfId="0" applyNumberFormat="1" applyBorder="1" applyProtection="1">
      <protection locked="0"/>
    </xf>
    <xf numFmtId="164" fontId="0" fillId="0" borderId="0" xfId="0" applyNumberFormat="1" applyBorder="1" applyAlignment="1" applyProtection="1">
      <alignment horizontal="center"/>
      <protection locked="0"/>
    </xf>
    <xf numFmtId="168" fontId="0" fillId="0" borderId="0" xfId="0" applyNumberFormat="1" applyBorder="1" applyAlignment="1" applyProtection="1">
      <alignment horizontal="center"/>
      <protection locked="0"/>
    </xf>
    <xf numFmtId="168" fontId="0" fillId="0" borderId="0" xfId="0" applyNumberFormat="1" applyBorder="1" applyProtection="1">
      <protection locked="0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2">
    <dxf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nct@roof.com" TargetMode="External"/><Relationship Id="rId3" Type="http://schemas.openxmlformats.org/officeDocument/2006/relationships/hyperlink" Target="mailto:nwss@burrowslighthouse.com" TargetMode="External"/><Relationship Id="rId7" Type="http://schemas.openxmlformats.org/officeDocument/2006/relationships/hyperlink" Target="mailto:reports@heritagewa.org" TargetMode="External"/><Relationship Id="rId2" Type="http://schemas.openxmlformats.org/officeDocument/2006/relationships/hyperlink" Target="mailto:volunteers@salishsea.org" TargetMode="External"/><Relationship Id="rId1" Type="http://schemas.openxmlformats.org/officeDocument/2006/relationships/hyperlink" Target="mailto:contracts@uscg.mil" TargetMode="External"/><Relationship Id="rId6" Type="http://schemas.openxmlformats.org/officeDocument/2006/relationships/hyperlink" Target="mailto:wiring@pugetsoundelec.com" TargetMode="External"/><Relationship Id="rId5" Type="http://schemas.openxmlformats.org/officeDocument/2006/relationships/hyperlink" Target="mailto:boats@islandmarine.net" TargetMode="External"/><Relationship Id="rId4" Type="http://schemas.openxmlformats.org/officeDocument/2006/relationships/hyperlink" Target="mailto:dan@nwschooner.org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620F-E3DA-481D-9D8C-CC085F145876}">
  <dimension ref="A1:J10"/>
  <sheetViews>
    <sheetView workbookViewId="0">
      <pane ySplit="1" topLeftCell="A2" activePane="bottomLeft" state="frozen"/>
      <selection pane="bottomLeft" sqref="A1:D1"/>
    </sheetView>
  </sheetViews>
  <sheetFormatPr defaultRowHeight="15" x14ac:dyDescent="0.25"/>
  <cols>
    <col min="1" max="1" width="20.140625" bestFit="1" customWidth="1"/>
    <col min="2" max="2" width="28.7109375" bestFit="1" customWidth="1"/>
    <col min="3" max="3" width="11" style="2" bestFit="1" customWidth="1"/>
    <col min="4" max="4" width="28.85546875" bestFit="1" customWidth="1"/>
    <col min="5" max="5" width="16.7109375" bestFit="1" customWidth="1"/>
  </cols>
  <sheetData>
    <row r="1" spans="1:10" ht="15.75" x14ac:dyDescent="0.25">
      <c r="A1" s="5" t="s">
        <v>81</v>
      </c>
      <c r="B1" s="1"/>
      <c r="C1" s="1"/>
      <c r="D1" s="1"/>
    </row>
    <row r="2" spans="1:10" x14ac:dyDescent="0.25">
      <c r="A2" t="s">
        <v>0</v>
      </c>
      <c r="B2" t="s">
        <v>1</v>
      </c>
      <c r="C2" s="2" t="s">
        <v>2</v>
      </c>
      <c r="D2" t="s">
        <v>3</v>
      </c>
      <c r="E2" t="s">
        <v>4</v>
      </c>
    </row>
    <row r="3" spans="1:10" x14ac:dyDescent="0.25">
      <c r="A3" t="s">
        <v>5</v>
      </c>
      <c r="B3" t="s">
        <v>21</v>
      </c>
      <c r="C3" s="2">
        <v>50</v>
      </c>
      <c r="D3" s="4" t="s">
        <v>6</v>
      </c>
      <c r="E3">
        <v>180</v>
      </c>
    </row>
    <row r="4" spans="1:10" x14ac:dyDescent="0.25">
      <c r="A4" t="s">
        <v>7</v>
      </c>
      <c r="B4" t="s">
        <v>22</v>
      </c>
      <c r="C4" s="2">
        <v>60</v>
      </c>
      <c r="D4" s="4" t="s">
        <v>8</v>
      </c>
      <c r="E4">
        <v>240</v>
      </c>
    </row>
    <row r="5" spans="1:10" x14ac:dyDescent="0.25">
      <c r="A5" t="s">
        <v>9</v>
      </c>
      <c r="B5" t="s">
        <v>23</v>
      </c>
      <c r="C5" s="2">
        <v>0</v>
      </c>
      <c r="D5" s="4" t="s">
        <v>10</v>
      </c>
      <c r="E5">
        <v>320</v>
      </c>
    </row>
    <row r="6" spans="1:10" x14ac:dyDescent="0.25">
      <c r="A6" t="s">
        <v>11</v>
      </c>
      <c r="B6" t="s">
        <v>24</v>
      </c>
      <c r="C6" s="2">
        <v>75</v>
      </c>
      <c r="D6" s="4" t="s">
        <v>12</v>
      </c>
      <c r="E6">
        <v>150</v>
      </c>
    </row>
    <row r="7" spans="1:10" x14ac:dyDescent="0.25">
      <c r="A7" t="s">
        <v>13</v>
      </c>
      <c r="B7" t="s">
        <v>25</v>
      </c>
      <c r="C7" s="2">
        <v>50</v>
      </c>
      <c r="D7" s="4" t="s">
        <v>14</v>
      </c>
      <c r="E7">
        <v>400</v>
      </c>
      <c r="J7" s="3"/>
    </row>
    <row r="8" spans="1:10" x14ac:dyDescent="0.25">
      <c r="A8" t="s">
        <v>15</v>
      </c>
      <c r="B8" t="s">
        <v>28</v>
      </c>
      <c r="C8" s="2">
        <v>80</v>
      </c>
      <c r="D8" s="4" t="s">
        <v>16</v>
      </c>
      <c r="E8">
        <v>90</v>
      </c>
      <c r="J8" s="3"/>
    </row>
    <row r="9" spans="1:10" x14ac:dyDescent="0.25">
      <c r="A9" t="s">
        <v>17</v>
      </c>
      <c r="B9" t="s">
        <v>26</v>
      </c>
      <c r="C9" s="2">
        <v>65</v>
      </c>
      <c r="D9" s="4" t="s">
        <v>18</v>
      </c>
      <c r="E9">
        <v>120</v>
      </c>
    </row>
    <row r="10" spans="1:10" x14ac:dyDescent="0.25">
      <c r="A10" t="s">
        <v>19</v>
      </c>
      <c r="B10" t="s">
        <v>27</v>
      </c>
      <c r="C10" s="2">
        <v>90</v>
      </c>
      <c r="D10" s="4" t="s">
        <v>20</v>
      </c>
      <c r="E10">
        <v>80</v>
      </c>
    </row>
  </sheetData>
  <mergeCells count="1">
    <mergeCell ref="A1:D1"/>
  </mergeCells>
  <dataValidations count="3">
    <dataValidation type="list" allowBlank="1" showInputMessage="1" showErrorMessage="1" sqref="B1:B2 B4:B9 B11:B1048576" xr:uid="{42554745-C758-401C-8817-42B61CD297D9}">
      <formula1>"carpenter,electrician,painter,plumber,mason,roofer,archaeological assessor,architectural historian,enviromental consultant,historic preservation specialist,structural engineer,marine transporter,project coordinator,trailer worker,cleanup specilist"</formula1>
    </dataValidation>
    <dataValidation type="list" allowBlank="1" showInputMessage="1" showErrorMessage="1" sqref="B3" xr:uid="{94AF9E04-9333-4E12-AC64-87ED00848F89}">
      <formula1>"carpenter,electrician,painter,plumber,mason,roofer,archaeological assessor,architectural historian,enviromental consultant,historic preservation specialist,structural engineer,marine trasnporter, project coordinator,trailer worker,cleanup specilist"</formula1>
    </dataValidation>
    <dataValidation type="list" allowBlank="1" showInputMessage="1" showErrorMessage="1" sqref="B10" xr:uid="{3325A7A5-8886-44C6-8A98-8F66E5AFC584}">
      <formula1>"carpenter,electrician,painter,plumber,mason,roofer,archaeological assessor,architectural historian,enviromental consultant,historic preservation specialist,structural engineer,marine transporter,project coordinator,trailer worker,cleanup specilist"</formula1>
    </dataValidation>
  </dataValidations>
  <hyperlinks>
    <hyperlink ref="D4" r:id="rId1" xr:uid="{334D4316-EFE9-4438-95C0-4831D79ED19F}"/>
    <hyperlink ref="D5" r:id="rId2" xr:uid="{38936B6B-3164-4318-BCE6-47C2BC777349}"/>
    <hyperlink ref="D6" r:id="rId3" xr:uid="{AD6E86F6-5B98-491D-9904-69602D720D8C}"/>
    <hyperlink ref="D7" r:id="rId4" xr:uid="{8276CC73-EF96-49DF-A4DE-5D5BC51EF280}"/>
    <hyperlink ref="D8" r:id="rId5" xr:uid="{182D4ED0-968C-419A-81E4-1E0B3C40E8E6}"/>
    <hyperlink ref="D9" r:id="rId6" xr:uid="{2F525A75-2E40-40C7-AF57-5E2D5D3E596E}"/>
    <hyperlink ref="D10" r:id="rId7" xr:uid="{9184569E-66E8-4A37-966D-E9EA074397E7}"/>
    <hyperlink ref="D3" r:id="rId8" xr:uid="{847299CC-04CB-4A1D-BACA-E7AAF93C1910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67D2-A59C-4B3B-B582-0F4444B97B44}">
  <dimension ref="A1:H21"/>
  <sheetViews>
    <sheetView workbookViewId="0">
      <pane ySplit="1" topLeftCell="A2" activePane="bottomLeft" state="frozen"/>
      <selection pane="bottomLeft" sqref="A1:D1"/>
    </sheetView>
  </sheetViews>
  <sheetFormatPr defaultRowHeight="15" x14ac:dyDescent="0.25"/>
  <cols>
    <col min="1" max="1" width="9.42578125" bestFit="1" customWidth="1"/>
    <col min="2" max="2" width="12" bestFit="1" customWidth="1"/>
    <col min="3" max="3" width="16.42578125" bestFit="1" customWidth="1"/>
    <col min="4" max="4" width="13.7109375" bestFit="1" customWidth="1"/>
    <col min="5" max="5" width="20.140625" bestFit="1" customWidth="1"/>
    <col min="6" max="6" width="13.5703125" bestFit="1" customWidth="1"/>
    <col min="7" max="7" width="7.28515625" bestFit="1" customWidth="1"/>
    <col min="8" max="8" width="33.42578125" bestFit="1" customWidth="1"/>
  </cols>
  <sheetData>
    <row r="1" spans="1:8" ht="15.75" x14ac:dyDescent="0.25">
      <c r="A1" s="5" t="s">
        <v>81</v>
      </c>
      <c r="B1" s="1"/>
      <c r="C1" s="1"/>
      <c r="D1" s="1"/>
    </row>
    <row r="2" spans="1:8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</row>
    <row r="3" spans="1:8" x14ac:dyDescent="0.25">
      <c r="A3" s="6">
        <v>46037</v>
      </c>
      <c r="B3" t="s">
        <v>37</v>
      </c>
      <c r="C3" t="s">
        <v>38</v>
      </c>
      <c r="D3" t="s">
        <v>39</v>
      </c>
      <c r="E3" t="s">
        <v>5</v>
      </c>
      <c r="F3">
        <v>40</v>
      </c>
      <c r="G3" s="7">
        <f>F3*VLOOKUP(E3,Contractors!A:C,3,FALSE)</f>
        <v>2000</v>
      </c>
      <c r="H3" t="s">
        <v>40</v>
      </c>
    </row>
    <row r="4" spans="1:8" x14ac:dyDescent="0.25">
      <c r="A4" s="6">
        <v>46042</v>
      </c>
      <c r="B4" t="s">
        <v>41</v>
      </c>
      <c r="C4" t="s">
        <v>42</v>
      </c>
      <c r="D4" t="s">
        <v>43</v>
      </c>
      <c r="E4" t="s">
        <v>7</v>
      </c>
      <c r="F4">
        <v>32</v>
      </c>
      <c r="G4" s="7">
        <f>F4*VLOOKUP(E4,Contractors!A:C,3,FALSE)</f>
        <v>1920</v>
      </c>
      <c r="H4" t="s">
        <v>44</v>
      </c>
    </row>
    <row r="5" spans="1:8" x14ac:dyDescent="0.25">
      <c r="A5" s="6">
        <v>45682</v>
      </c>
      <c r="B5" t="s">
        <v>45</v>
      </c>
      <c r="C5" t="s">
        <v>46</v>
      </c>
      <c r="D5" t="s">
        <v>47</v>
      </c>
      <c r="E5" t="s">
        <v>19</v>
      </c>
      <c r="F5">
        <v>16</v>
      </c>
      <c r="G5" s="7">
        <f>F5*VLOOKUP(E5,Contractors!A:C,3,FALSE)</f>
        <v>1440</v>
      </c>
      <c r="H5" t="s">
        <v>48</v>
      </c>
    </row>
    <row r="6" spans="1:8" x14ac:dyDescent="0.25">
      <c r="A6" s="6">
        <v>46054</v>
      </c>
      <c r="B6" t="s">
        <v>37</v>
      </c>
      <c r="C6" t="s">
        <v>38</v>
      </c>
      <c r="D6" t="s">
        <v>39</v>
      </c>
      <c r="E6" t="s">
        <v>9</v>
      </c>
      <c r="F6">
        <v>50</v>
      </c>
      <c r="G6" s="7">
        <f>F6*VLOOKUP(E6,Contractors!A:C,3,FALSE)</f>
        <v>0</v>
      </c>
      <c r="H6" t="s">
        <v>49</v>
      </c>
    </row>
    <row r="7" spans="1:8" x14ac:dyDescent="0.25">
      <c r="A7" s="6">
        <v>46058</v>
      </c>
      <c r="B7" t="s">
        <v>37</v>
      </c>
      <c r="C7" t="s">
        <v>42</v>
      </c>
      <c r="D7" t="s">
        <v>39</v>
      </c>
      <c r="E7" t="s">
        <v>11</v>
      </c>
      <c r="F7">
        <v>24</v>
      </c>
      <c r="G7" s="7">
        <f>F7*VLOOKUP(E7,Contractors!A:C,3,FALSE)</f>
        <v>1800</v>
      </c>
      <c r="H7" t="s">
        <v>50</v>
      </c>
    </row>
    <row r="8" spans="1:8" x14ac:dyDescent="0.25">
      <c r="A8" s="6">
        <v>45698</v>
      </c>
      <c r="B8" t="s">
        <v>51</v>
      </c>
      <c r="C8" t="s">
        <v>52</v>
      </c>
      <c r="D8" t="s">
        <v>53</v>
      </c>
      <c r="E8" t="s">
        <v>15</v>
      </c>
      <c r="F8">
        <v>12</v>
      </c>
      <c r="G8" s="7">
        <f>F8*VLOOKUP(E8,Contractors!A:C,3,FALSE)</f>
        <v>960</v>
      </c>
      <c r="H8" t="s">
        <v>54</v>
      </c>
    </row>
    <row r="9" spans="1:8" x14ac:dyDescent="0.25">
      <c r="A9" s="6">
        <v>46068</v>
      </c>
      <c r="B9" t="s">
        <v>41</v>
      </c>
      <c r="C9" t="s">
        <v>55</v>
      </c>
      <c r="D9" t="s">
        <v>56</v>
      </c>
      <c r="E9" t="s">
        <v>9</v>
      </c>
      <c r="F9">
        <v>45</v>
      </c>
      <c r="G9" s="7">
        <f>F9*VLOOKUP(E9,Contractors!A:C,3,FALSE)</f>
        <v>0</v>
      </c>
      <c r="H9" t="s">
        <v>57</v>
      </c>
    </row>
    <row r="10" spans="1:8" x14ac:dyDescent="0.25">
      <c r="A10" s="6">
        <v>46073</v>
      </c>
      <c r="B10" t="s">
        <v>37</v>
      </c>
      <c r="C10" t="s">
        <v>38</v>
      </c>
      <c r="D10" t="s">
        <v>58</v>
      </c>
      <c r="E10" t="s">
        <v>17</v>
      </c>
      <c r="F10">
        <v>20</v>
      </c>
      <c r="G10" s="7">
        <f>F10*VLOOKUP(E10,Contractors!A:C,3,FALSE)</f>
        <v>1300</v>
      </c>
      <c r="H10" t="s">
        <v>59</v>
      </c>
    </row>
    <row r="11" spans="1:8" x14ac:dyDescent="0.25">
      <c r="A11" s="6">
        <v>45717</v>
      </c>
      <c r="B11" t="s">
        <v>37</v>
      </c>
      <c r="C11" t="s">
        <v>46</v>
      </c>
      <c r="D11" t="s">
        <v>39</v>
      </c>
      <c r="E11" t="s">
        <v>13</v>
      </c>
      <c r="F11">
        <v>35</v>
      </c>
      <c r="G11" s="7">
        <f>F11*VLOOKUP(E11,Contractors!A:C,3,FALSE)</f>
        <v>1750</v>
      </c>
      <c r="H11" t="s">
        <v>60</v>
      </c>
    </row>
    <row r="12" spans="1:8" x14ac:dyDescent="0.25">
      <c r="A12" s="6">
        <v>45721</v>
      </c>
      <c r="B12" t="s">
        <v>41</v>
      </c>
      <c r="C12" t="s">
        <v>38</v>
      </c>
      <c r="D12" t="s">
        <v>43</v>
      </c>
      <c r="E12" t="s">
        <v>7</v>
      </c>
      <c r="F12">
        <v>28</v>
      </c>
      <c r="G12" s="7">
        <f>F12*VLOOKUP(E12,Contractors!A:C,3,FALSE)</f>
        <v>1680</v>
      </c>
      <c r="H12" t="s">
        <v>62</v>
      </c>
    </row>
    <row r="13" spans="1:8" x14ac:dyDescent="0.25">
      <c r="A13" s="6">
        <v>45726</v>
      </c>
      <c r="B13" t="s">
        <v>37</v>
      </c>
      <c r="C13" t="s">
        <v>42</v>
      </c>
      <c r="D13" t="s">
        <v>39</v>
      </c>
      <c r="E13" t="s">
        <v>5</v>
      </c>
      <c r="F13">
        <v>30</v>
      </c>
      <c r="G13" s="7">
        <f>F13*VLOOKUP(E13,Contractors!A:C,3,FALSE)</f>
        <v>1500</v>
      </c>
      <c r="H13" t="s">
        <v>61</v>
      </c>
    </row>
    <row r="14" spans="1:8" x14ac:dyDescent="0.25">
      <c r="A14" s="6">
        <v>45731</v>
      </c>
      <c r="B14" t="s">
        <v>45</v>
      </c>
      <c r="C14" t="s">
        <v>63</v>
      </c>
      <c r="D14" t="s">
        <v>64</v>
      </c>
      <c r="E14" t="s">
        <v>11</v>
      </c>
      <c r="F14">
        <v>18</v>
      </c>
      <c r="G14" s="7">
        <f>F14*VLOOKUP(E14,Contractors!A:C,3,FALSE)</f>
        <v>1350</v>
      </c>
      <c r="H14" t="s">
        <v>65</v>
      </c>
    </row>
    <row r="15" spans="1:8" x14ac:dyDescent="0.25">
      <c r="A15" s="6">
        <v>45736</v>
      </c>
      <c r="B15" t="s">
        <v>51</v>
      </c>
      <c r="C15" t="s">
        <v>52</v>
      </c>
      <c r="D15" t="s">
        <v>64</v>
      </c>
      <c r="E15" t="s">
        <v>15</v>
      </c>
      <c r="F15">
        <v>10</v>
      </c>
      <c r="G15" s="7">
        <f>F15*VLOOKUP(E15,Contractors!A:C,3,FALSE)</f>
        <v>800</v>
      </c>
      <c r="H15" t="s">
        <v>66</v>
      </c>
    </row>
    <row r="16" spans="1:8" x14ac:dyDescent="0.25">
      <c r="A16" s="6">
        <v>45741</v>
      </c>
      <c r="B16" t="s">
        <v>37</v>
      </c>
      <c r="C16" t="s">
        <v>46</v>
      </c>
      <c r="D16" t="s">
        <v>47</v>
      </c>
      <c r="E16" t="s">
        <v>17</v>
      </c>
      <c r="F16">
        <v>15</v>
      </c>
      <c r="G16" s="7">
        <f>F16*VLOOKUP(E16,Contractors!A:C,3,FALSE)</f>
        <v>975</v>
      </c>
      <c r="H16" t="s">
        <v>67</v>
      </c>
    </row>
    <row r="17" spans="1:8" x14ac:dyDescent="0.25">
      <c r="A17" s="6">
        <v>46113</v>
      </c>
      <c r="B17" t="s">
        <v>41</v>
      </c>
      <c r="C17" t="s">
        <v>55</v>
      </c>
      <c r="D17" t="s">
        <v>68</v>
      </c>
      <c r="E17" t="s">
        <v>9</v>
      </c>
      <c r="F17">
        <v>40</v>
      </c>
      <c r="G17" s="7">
        <f>F17*VLOOKUP(E17,Contractors!A:C,3,FALSE)</f>
        <v>0</v>
      </c>
      <c r="H17" t="s">
        <v>69</v>
      </c>
    </row>
    <row r="18" spans="1:8" x14ac:dyDescent="0.25">
      <c r="A18" s="6">
        <v>46117</v>
      </c>
      <c r="B18" t="s">
        <v>37</v>
      </c>
      <c r="C18" t="s">
        <v>38</v>
      </c>
      <c r="D18" t="s">
        <v>39</v>
      </c>
      <c r="E18" t="s">
        <v>13</v>
      </c>
      <c r="F18">
        <v>25</v>
      </c>
      <c r="G18" s="7">
        <f>F18*VLOOKUP(E18,Contractors!A:C,3,FALSE)</f>
        <v>1250</v>
      </c>
      <c r="H18" t="s">
        <v>70</v>
      </c>
    </row>
    <row r="19" spans="1:8" x14ac:dyDescent="0.25">
      <c r="A19" s="6">
        <v>46122</v>
      </c>
      <c r="B19" t="s">
        <v>45</v>
      </c>
      <c r="C19" t="s">
        <v>46</v>
      </c>
      <c r="D19" t="s">
        <v>47</v>
      </c>
      <c r="E19" t="s">
        <v>19</v>
      </c>
      <c r="F19">
        <v>22</v>
      </c>
      <c r="G19" s="7">
        <f>F19*VLOOKUP(E19,Contractors!A:C,3,FALSE)</f>
        <v>1980</v>
      </c>
      <c r="H19" t="s">
        <v>71</v>
      </c>
    </row>
    <row r="20" spans="1:8" x14ac:dyDescent="0.25">
      <c r="A20" s="6">
        <v>46127</v>
      </c>
      <c r="B20" t="s">
        <v>37</v>
      </c>
      <c r="C20" t="s">
        <v>42</v>
      </c>
      <c r="D20" t="s">
        <v>72</v>
      </c>
      <c r="E20" t="s">
        <v>7</v>
      </c>
      <c r="F20">
        <v>25</v>
      </c>
      <c r="G20" s="7">
        <f>F20*VLOOKUP(E20,Contractors!A:C,3,FALSE)</f>
        <v>1500</v>
      </c>
      <c r="H20" t="s">
        <v>73</v>
      </c>
    </row>
    <row r="21" spans="1:8" x14ac:dyDescent="0.25">
      <c r="A21" s="6">
        <v>46132</v>
      </c>
      <c r="B21" t="s">
        <v>51</v>
      </c>
      <c r="C21" t="s">
        <v>52</v>
      </c>
      <c r="D21" t="s">
        <v>53</v>
      </c>
      <c r="E21" t="s">
        <v>15</v>
      </c>
      <c r="F21">
        <v>8</v>
      </c>
      <c r="G21" s="7">
        <f>F21*VLOOKUP(E21,Contractors!A:C,3,FALSE)</f>
        <v>640</v>
      </c>
      <c r="H21" t="s">
        <v>74</v>
      </c>
    </row>
  </sheetData>
  <mergeCells count="1">
    <mergeCell ref="A1:D1"/>
  </mergeCells>
  <conditionalFormatting sqref="G3:G21">
    <cfRule type="cellIs" dxfId="1" priority="2" operator="greaterThan">
      <formula>1000</formula>
    </cfRule>
  </conditionalFormatting>
  <conditionalFormatting sqref="B3:B21">
    <cfRule type="expression" dxfId="0" priority="1">
      <formula>B3="Preservation"</formula>
    </cfRule>
  </conditionalFormatting>
  <dataValidations count="1">
    <dataValidation type="list" allowBlank="1" showInputMessage="1" showErrorMessage="1" sqref="B1" xr:uid="{8D8ABE0B-BB49-471C-96FA-0816367A446F}">
      <formula1>"carpenter,electrician,painter,plumber,mason,roofer,archaeological assessor,architectural historian,enviromental consultant,historic preservation specialist,structural engineer,marine transporter,project coordinator,trailer worker,cleanup specilist"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93D2B8-3B51-452A-98DC-10A82E76B73F}">
          <x14:formula1>
            <xm:f>Contractors!$A$2:$A$20</xm:f>
          </x14:formula1>
          <xm:sqref>E3:E21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A395-DFC2-474D-AE3C-C058C31772BA}">
  <dimension ref="A1:H6"/>
  <sheetViews>
    <sheetView zoomScaleNormal="100" workbookViewId="0">
      <selection activeCell="A3" sqref="A3:E3"/>
    </sheetView>
  </sheetViews>
  <sheetFormatPr defaultRowHeight="15" x14ac:dyDescent="0.25"/>
  <cols>
    <col min="1" max="1" width="10.42578125" style="15" bestFit="1" customWidth="1"/>
    <col min="2" max="2" width="20" style="10" bestFit="1" customWidth="1"/>
    <col min="3" max="3" width="13.5703125" style="18" bestFit="1" customWidth="1"/>
    <col min="4" max="4" width="11" style="12" bestFit="1" customWidth="1"/>
    <col min="5" max="5" width="11.140625" style="10" bestFit="1" customWidth="1"/>
    <col min="6" max="6" width="26.140625" style="10" bestFit="1" customWidth="1"/>
    <col min="7" max="16384" width="9.140625" style="10"/>
  </cols>
  <sheetData>
    <row r="1" spans="1:8" x14ac:dyDescent="0.25">
      <c r="A1" s="14" t="s">
        <v>29</v>
      </c>
      <c r="B1" s="9" t="s">
        <v>0</v>
      </c>
      <c r="C1" s="17" t="s">
        <v>34</v>
      </c>
      <c r="D1" s="16" t="s">
        <v>2</v>
      </c>
      <c r="E1" s="9" t="s">
        <v>75</v>
      </c>
      <c r="F1" s="9" t="s">
        <v>76</v>
      </c>
      <c r="G1" s="9"/>
      <c r="H1" s="9"/>
    </row>
    <row r="2" spans="1:8" x14ac:dyDescent="0.25">
      <c r="A2" s="14">
        <v>46058</v>
      </c>
      <c r="B2" s="10" t="s">
        <v>11</v>
      </c>
      <c r="C2" s="18">
        <v>24</v>
      </c>
      <c r="D2" s="12">
        <v>75</v>
      </c>
      <c r="E2" s="10" t="s">
        <v>79</v>
      </c>
    </row>
    <row r="3" spans="1:8" x14ac:dyDescent="0.25">
      <c r="A3" s="14">
        <v>46063</v>
      </c>
      <c r="B3" s="10" t="s">
        <v>15</v>
      </c>
      <c r="C3" s="18">
        <v>12</v>
      </c>
      <c r="D3" s="12">
        <v>80</v>
      </c>
      <c r="E3" s="10" t="s">
        <v>51</v>
      </c>
    </row>
    <row r="4" spans="1:8" x14ac:dyDescent="0.25">
      <c r="A4" s="14">
        <v>46068</v>
      </c>
      <c r="B4" s="10" t="s">
        <v>11</v>
      </c>
      <c r="C4" s="18">
        <v>12</v>
      </c>
      <c r="D4" s="12">
        <v>75</v>
      </c>
      <c r="E4" s="10" t="s">
        <v>79</v>
      </c>
    </row>
    <row r="5" spans="1:8" x14ac:dyDescent="0.25">
      <c r="A5" s="11"/>
    </row>
    <row r="6" spans="1:8" x14ac:dyDescent="0.25">
      <c r="A6" s="11"/>
    </row>
  </sheetData>
  <dataValidations count="2">
    <dataValidation type="list" allowBlank="1" showInputMessage="1" showErrorMessage="1" promptTitle="Contractor" prompt="Select from list" sqref="B1:B1048576" xr:uid="{7BF3CEAE-65C4-482B-96CD-5CD2F59C1261}">
      <formula1>INDIRECT("Contractors!A3:A10")</formula1>
    </dataValidation>
    <dataValidation type="list" allowBlank="1" showInputMessage="1" showErrorMessage="1" errorTitle="Invalid Contractor " error="Please select from dropdown menu" promptTitle="Choose job type" sqref="E1:E1048576" xr:uid="{D1576CF8-DEFA-47A4-885E-EFD1F98AFA2A}">
      <formula1>"Restoration,Welding,Painting,Electrical,Assembly,Logistics"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6B3C-0EB5-4E10-B05D-BC08CC749310}">
  <dimension ref="A1:D10"/>
  <sheetViews>
    <sheetView tabSelected="1" workbookViewId="0">
      <pane ySplit="1" topLeftCell="A2" activePane="bottomLeft" state="frozen"/>
      <selection pane="bottomLeft" sqref="A1:D1"/>
    </sheetView>
  </sheetViews>
  <sheetFormatPr defaultRowHeight="15" x14ac:dyDescent="0.25"/>
  <cols>
    <col min="1" max="1" width="20.5703125" customWidth="1"/>
    <col min="2" max="2" width="11.140625" bestFit="1" customWidth="1"/>
    <col min="3" max="3" width="9.85546875" bestFit="1" customWidth="1"/>
    <col min="4" max="4" width="13.5703125" bestFit="1" customWidth="1"/>
  </cols>
  <sheetData>
    <row r="1" spans="1:4" ht="15" customHeight="1" x14ac:dyDescent="0.25">
      <c r="A1" s="5" t="s">
        <v>81</v>
      </c>
      <c r="B1" s="20"/>
      <c r="C1" s="20"/>
      <c r="D1" s="20"/>
    </row>
    <row r="2" spans="1:4" ht="15" customHeight="1" x14ac:dyDescent="0.25">
      <c r="A2" s="8"/>
      <c r="B2" s="19"/>
      <c r="C2" s="19"/>
      <c r="D2" s="19"/>
    </row>
    <row r="3" spans="1:4" x14ac:dyDescent="0.25">
      <c r="A3" t="s">
        <v>77</v>
      </c>
      <c r="B3">
        <f>SUM('Data Input'!C:C)</f>
        <v>48</v>
      </c>
    </row>
    <row r="4" spans="1:4" x14ac:dyDescent="0.25">
      <c r="A4" t="s">
        <v>78</v>
      </c>
      <c r="B4">
        <f>SUMPRODUCT('Data Input'!C:C, 'Data Input'!D:D)</f>
        <v>3660</v>
      </c>
    </row>
    <row r="5" spans="1:4" x14ac:dyDescent="0.25">
      <c r="A5" t="s">
        <v>82</v>
      </c>
      <c r="B5">
        <f>AVERAGE('Data Input'!D:D)</f>
        <v>76.666666666666671</v>
      </c>
    </row>
    <row r="6" spans="1:4" x14ac:dyDescent="0.25">
      <c r="A6" t="s">
        <v>83</v>
      </c>
      <c r="B6">
        <f>SUMPRODUCT('Data Input'!C2:C100,'Data Input'!D2:D100)</f>
        <v>3660</v>
      </c>
    </row>
    <row r="7" spans="1:4" x14ac:dyDescent="0.25">
      <c r="A7" t="s">
        <v>33</v>
      </c>
      <c r="B7" t="s">
        <v>84</v>
      </c>
      <c r="C7" t="s">
        <v>85</v>
      </c>
      <c r="D7" t="s">
        <v>80</v>
      </c>
    </row>
    <row r="8" spans="1:4" x14ac:dyDescent="0.25">
      <c r="A8" t="str" cm="1">
        <f t="array" ref="A8:A10">_xlfn.UNIQUE('Data Input'!B2:B510)</f>
        <v>NWSS Preservation</v>
      </c>
      <c r="B8" s="13">
        <f>SUMIF('Data Input'!B:B,$A8,'Data Input'!C:C)</f>
        <v>36</v>
      </c>
      <c r="C8">
        <f>$B8*VLOOKUP(A8,'Data Input'!B:D,3,FALSE)</f>
        <v>2700</v>
      </c>
      <c r="D8">
        <f>$B8/COUNTIF('Data Input'!$B:$B,$A8)</f>
        <v>18</v>
      </c>
    </row>
    <row r="9" spans="1:4" x14ac:dyDescent="0.25">
      <c r="A9" t="str">
        <v>Island Marine Service</v>
      </c>
      <c r="B9" s="13">
        <f>SUMIF('Data Input'!B:B,$A9,'Data Input'!C:C)</f>
        <v>12</v>
      </c>
      <c r="C9">
        <f>$B9*VLOOKUP(A9,'Data Input'!B:D,3,FALSE)</f>
        <v>960</v>
      </c>
      <c r="D9">
        <f>$B9/COUNTIF('Data Input'!$B:$B,$A9)</f>
        <v>12</v>
      </c>
    </row>
    <row r="10" spans="1:4" x14ac:dyDescent="0.25">
      <c r="A10">
        <v>0</v>
      </c>
      <c r="B10" s="13">
        <f>SUMIF('Data Input'!B:B,$A10,'Data Input'!C:C)</f>
        <v>0</v>
      </c>
      <c r="C10" t="e">
        <f>$B10*VLOOKUP(A10,'Data Input'!B:D,3,FALSE)</f>
        <v>#N/A</v>
      </c>
      <c r="D10" t="e">
        <f>$B10/COUNTIF('Data Input'!$B:$B,$A10)</f>
        <v>#DIV/0!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Contractors</vt:lpstr>
      <vt:lpstr>Expenses</vt:lpstr>
      <vt:lpstr>Data Input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Watts</dc:creator>
  <cp:lastModifiedBy>John Watts</cp:lastModifiedBy>
  <dcterms:created xsi:type="dcterms:W3CDTF">2026-02-20T16:03:15Z</dcterms:created>
  <dcterms:modified xsi:type="dcterms:W3CDTF">2026-02-20T21:31:13Z</dcterms:modified>
</cp:coreProperties>
</file>